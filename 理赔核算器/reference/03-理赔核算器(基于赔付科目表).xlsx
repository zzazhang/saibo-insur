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tabRatio="500"/>
  </bookViews>
  <sheets>
    <sheet name="使用说明" sheetId="1" r:id="rId1"/>
    <sheet name="科目核算表" sheetId="2" r:id="rId2"/>
    <sheet name="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<sst xmlns="http://schemas.openxmlformats.org/spreadsheetml/2006/main" count="541" uniqueCount="423">
  <si>
    <t>理赔核算器(基于赔付科目表) 使用说明</t>
  </si>
  <si>
    <t>一、这是事件已发生后的损失核算工具。逐条填写69个标准赔付科目的公式变量或凭证金额,自动得到各科目核定损失、15个大类小计与净核定合计。</t>
  </si>
  <si>
    <t>二、颜色约定:黄底蓝字=输入格(只改这些);绿底=自动计算结果,请勿改动。</t>
  </si>
  <si>
    <t>三、每行两种录入通道:①参数计算——填变量(如工时、费率、人数、单价),自动按计算式得数;②凭证直接核定——有合同/发票/账单总额时填"凭证直接核定金额"列,该列一经填写(&gt;0)即覆盖参数计算,优先生效。</t>
  </si>
  <si>
    <t>四、预填的参考值(黄底):响应费率1500元/h、镜像单价1250元/个、通知单价0.1元/人等来自网络资料行业参考区间,承保/核赔前应校准,后期获得真实数据可进行修改。</t>
  </si>
  <si>
    <t>五、规则与汇总控制:</t>
  </si>
  <si>
    <r>
      <rPr>
        <sz val="10.5"/>
        <rFont val="等线"/>
        <charset val="134"/>
      </rPr>
      <t xml:space="preserve">  1. </t>
    </r>
    <r>
      <rPr>
        <sz val="10.5"/>
        <rFont val="Noto Sans CJK SC"/>
        <charset val="134"/>
      </rPr>
      <t>营业中断测法二选一——</t>
    </r>
    <r>
      <rPr>
        <sz val="10.5"/>
        <rFont val="等线"/>
        <charset val="134"/>
      </rPr>
      <t>S1</t>
    </r>
    <r>
      <rPr>
        <sz val="10.5"/>
        <rFont val="Noto Sans CJK SC"/>
        <charset val="134"/>
      </rPr>
      <t>带区行的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测法选择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下拉</t>
    </r>
    <r>
      <rPr>
        <sz val="10.5"/>
        <rFont val="等线"/>
        <charset val="134"/>
      </rPr>
      <t>:</t>
    </r>
    <r>
      <rPr>
        <sz val="10.5"/>
        <rFont val="Noto Sans CJK SC"/>
        <charset val="134"/>
      </rPr>
      <t>公式外推法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启用</t>
    </r>
    <r>
      <rPr>
        <sz val="10.5"/>
        <rFont val="等线"/>
        <charset val="134"/>
      </rPr>
      <t>S1-01/02)</t>
    </r>
    <r>
      <rPr>
        <sz val="10.5"/>
        <rFont val="Noto Sans CJK SC"/>
        <charset val="134"/>
      </rPr>
      <t>或财务对照法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启用</t>
    </r>
    <r>
      <rPr>
        <sz val="10.5"/>
        <rFont val="等线"/>
        <charset val="134"/>
      </rPr>
      <t>S1-03),</t>
    </r>
    <r>
      <rPr>
        <sz val="10.5"/>
        <rFont val="Noto Sans CJK SC"/>
        <charset val="134"/>
      </rPr>
      <t>未选中口径自动记</t>
    </r>
    <r>
      <rPr>
        <sz val="10.5"/>
        <rFont val="等线"/>
        <charset val="134"/>
      </rPr>
      <t>0,</t>
    </r>
    <r>
      <rPr>
        <sz val="10.5"/>
        <rFont val="Noto Sans CJK SC"/>
        <charset val="134"/>
      </rPr>
      <t>不可叠加。</t>
    </r>
  </si>
  <si>
    <r>
      <rPr>
        <sz val="10.5"/>
        <rFont val="等线"/>
        <charset val="134"/>
      </rPr>
      <t xml:space="preserve">  2. </t>
    </r>
    <r>
      <rPr>
        <sz val="10.5"/>
        <rFont val="Noto Sans CJK SC"/>
        <charset val="134"/>
      </rPr>
      <t>规则①</t>
    </r>
    <r>
      <rPr>
        <sz val="10.5"/>
        <rFont val="等线"/>
        <charset val="134"/>
      </rPr>
      <t>SLA</t>
    </r>
    <r>
      <rPr>
        <sz val="10.5"/>
        <rFont val="Noto Sans CJK SC"/>
        <charset val="134"/>
      </rPr>
      <t>抵扣——在</t>
    </r>
    <r>
      <rPr>
        <sz val="10.5"/>
        <rFont val="等线"/>
        <charset val="134"/>
      </rPr>
      <t>S1</t>
    </r>
    <r>
      <rPr>
        <sz val="10.5"/>
        <rFont val="Noto Sans CJK SC"/>
        <charset val="134"/>
      </rPr>
      <t>区末行填入已获</t>
    </r>
    <r>
      <rPr>
        <sz val="10.5"/>
        <rFont val="等线"/>
        <charset val="134"/>
      </rPr>
      <t>SLA</t>
    </r>
    <r>
      <rPr>
        <sz val="10.5"/>
        <rFont val="Noto Sans CJK SC"/>
        <charset val="134"/>
      </rPr>
      <t>赔偿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汇总页自动从核定合计中扣减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以</t>
    </r>
    <r>
      <rPr>
        <sz val="10.5"/>
        <rFont val="等线"/>
        <charset val="134"/>
      </rPr>
      <t>S1</t>
    </r>
    <r>
      <rPr>
        <sz val="10.5"/>
        <rFont val="Noto Sans CJK SC"/>
        <charset val="134"/>
      </rPr>
      <t>小计为上限</t>
    </r>
    <r>
      <rPr>
        <sz val="10.5"/>
        <rFont val="等线"/>
        <charset val="134"/>
      </rPr>
      <t>)</t>
    </r>
    <r>
      <rPr>
        <sz val="10.5"/>
        <rFont val="Noto Sans CJK SC"/>
        <charset val="134"/>
      </rPr>
      <t>。</t>
    </r>
  </si>
  <si>
    <r>
      <rPr>
        <sz val="10.5"/>
        <rFont val="等线"/>
        <charset val="134"/>
      </rPr>
      <t xml:space="preserve">  3. </t>
    </r>
    <r>
      <rPr>
        <sz val="10.5"/>
        <rFont val="Noto Sans CJK SC"/>
        <charset val="134"/>
      </rPr>
      <t>和解协议整改费</t>
    </r>
    <r>
      <rPr>
        <sz val="10.5"/>
        <rFont val="等线"/>
        <charset val="134"/>
      </rPr>
      <t>(R1-03)——</t>
    </r>
    <r>
      <rPr>
        <sz val="10.5"/>
        <rFont val="Noto Sans CJK SC"/>
        <charset val="134"/>
      </rPr>
      <t>须将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法律顾问已确认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选为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是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方计入。</t>
    </r>
  </si>
  <si>
    <r>
      <rPr>
        <sz val="10.5"/>
        <rFont val="等线"/>
        <charset val="134"/>
      </rPr>
      <t xml:space="preserve">  4. </t>
    </r>
    <r>
      <rPr>
        <sz val="10.5"/>
        <rFont val="Noto Sans CJK SC"/>
        <charset val="134"/>
      </rPr>
      <t>大类开关——汇总页每个大类一个</t>
    </r>
    <r>
      <rPr>
        <sz val="10.5"/>
        <rFont val="等线"/>
        <charset val="134"/>
      </rPr>
      <t>ON/OFF</t>
    </r>
    <r>
      <rPr>
        <sz val="10.5"/>
        <rFont val="Noto Sans CJK SC"/>
        <charset val="134"/>
      </rPr>
      <t>开关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黄底</t>
    </r>
    <r>
      <rPr>
        <sz val="10.5"/>
        <rFont val="等线"/>
        <charset val="134"/>
      </rPr>
      <t>):OFF</t>
    </r>
    <r>
      <rPr>
        <sz val="10.5"/>
        <rFont val="Noto Sans CJK SC"/>
        <charset val="134"/>
      </rPr>
      <t>时该大类计入金额记</t>
    </r>
    <r>
      <rPr>
        <sz val="10.5"/>
        <rFont val="等线"/>
        <charset val="134"/>
      </rPr>
      <t>0</t>
    </r>
    <r>
      <rPr>
        <sz val="10.5"/>
        <rFont val="Noto Sans CJK SC"/>
        <charset val="134"/>
      </rPr>
      <t>、从合计与直</t>
    </r>
    <r>
      <rPr>
        <sz val="10.5"/>
        <rFont val="等线"/>
        <charset val="134"/>
      </rPr>
      <t>/</t>
    </r>
    <r>
      <rPr>
        <sz val="10.5"/>
        <rFont val="Noto Sans CJK SC"/>
        <charset val="134"/>
      </rPr>
      <t>间分列中剔除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但科目明细与核定小计照常显示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便于按承保范围或分析口径切换。</t>
    </r>
  </si>
  <si>
    <t>六、示例数据:当前预填了一个勒索软件案例(取证、恢复、修补、通知、营业中断、赎金、云超额)作演示与自验。正式使用前,清空"科目核算表"中所有黄底输入格(保留参考值行可自行判断)及汇总页案件信息。</t>
  </si>
  <si>
    <t>七、证据与前置条件:每行"提示"列给出关键执行要点;完整证据清单与执行要点见《赔付科目精简表》的"标准科目与测度公式"sheet,核赔时逐条对照。</t>
  </si>
  <si>
    <t>八、本工具计算的是核定损失(事实口径)。是否承保、限额免赔如何适用,以具体保单条款为准;品牌修复费与赎金的分项限额已作为行内变量,由使用者按条款填入。</t>
  </si>
  <si>
    <r>
      <rPr>
        <sz val="10.5"/>
        <rFont val="Noto Sans CJK SC"/>
        <charset val="134"/>
      </rPr>
      <t>九、明细开关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承保过滤</t>
    </r>
    <r>
      <rPr>
        <sz val="10.5"/>
        <rFont val="等线"/>
        <charset val="134"/>
      </rPr>
      <t>):</t>
    </r>
    <r>
      <rPr>
        <sz val="10.5"/>
        <rFont val="Noto Sans CJK SC"/>
        <charset val="134"/>
      </rPr>
      <t>科目核算表</t>
    </r>
    <r>
      <rPr>
        <sz val="10.5"/>
        <rFont val="等线"/>
        <charset val="134"/>
      </rPr>
      <t>P</t>
    </r>
    <r>
      <rPr>
        <sz val="10.5"/>
        <rFont val="Noto Sans CJK SC"/>
        <charset val="134"/>
      </rPr>
      <t>列为每个明细科目提供</t>
    </r>
    <r>
      <rPr>
        <sz val="10.5"/>
        <rFont val="等线"/>
        <charset val="134"/>
      </rPr>
      <t>ON/OFF</t>
    </r>
    <r>
      <rPr>
        <sz val="10.5"/>
        <rFont val="Noto Sans CJK SC"/>
        <charset val="134"/>
      </rPr>
      <t>。保险责任未覆盖的子项切</t>
    </r>
    <r>
      <rPr>
        <sz val="10.5"/>
        <rFont val="等线"/>
        <charset val="134"/>
      </rPr>
      <t>OFF——</t>
    </r>
    <r>
      <rPr>
        <sz val="10.5"/>
        <rFont val="Noto Sans CJK SC"/>
        <charset val="134"/>
      </rPr>
      <t>该行核定损失照常计算显示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事实口径</t>
    </r>
    <r>
      <rPr>
        <sz val="10.5"/>
        <rFont val="等线"/>
        <charset val="134"/>
      </rPr>
      <t>),</t>
    </r>
    <r>
      <rPr>
        <sz val="10.5"/>
        <rFont val="Noto Sans CJK SC"/>
        <charset val="134"/>
      </rPr>
      <t>但不进入汇总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计入金额</t>
    </r>
    <r>
      <rPr>
        <sz val="10.5"/>
        <rFont val="等线"/>
        <charset val="134"/>
      </rPr>
      <t>"</t>
    </r>
    <r>
      <rPr>
        <sz val="10.5"/>
        <rFont val="Noto Sans CJK SC"/>
        <charset val="134"/>
      </rPr>
      <t>。橙色开关格提示该科目需特约</t>
    </r>
    <r>
      <rPr>
        <sz val="10.5"/>
        <rFont val="等线"/>
        <charset val="134"/>
      </rPr>
      <t>/</t>
    </r>
    <r>
      <rPr>
        <sz val="10.5"/>
        <rFont val="Noto Sans CJK SC"/>
        <charset val="134"/>
      </rPr>
      <t>扩展</t>
    </r>
    <r>
      <rPr>
        <sz val="10.5"/>
        <rFont val="等线"/>
        <charset val="134"/>
      </rPr>
      <t>/</t>
    </r>
    <r>
      <rPr>
        <sz val="10.5"/>
        <rFont val="Noto Sans CJK SC"/>
        <charset val="134"/>
      </rPr>
      <t>有限承保或可保性存疑</t>
    </r>
    <r>
      <rPr>
        <sz val="10.5"/>
        <rFont val="等线"/>
        <charset val="134"/>
      </rPr>
      <t>,</t>
    </r>
    <r>
      <rPr>
        <sz val="10.5"/>
        <rFont val="Noto Sans CJK SC"/>
        <charset val="134"/>
      </rPr>
      <t>请对照保单逐项确认。大类开关</t>
    </r>
    <r>
      <rPr>
        <sz val="10.5"/>
        <rFont val="等线"/>
        <charset val="134"/>
      </rPr>
      <t>(</t>
    </r>
    <r>
      <rPr>
        <sz val="10.5"/>
        <rFont val="Noto Sans CJK SC"/>
        <charset val="134"/>
      </rPr>
      <t>汇总页</t>
    </r>
    <r>
      <rPr>
        <sz val="10.5"/>
        <rFont val="等线"/>
        <charset val="134"/>
      </rPr>
      <t>C</t>
    </r>
    <r>
      <rPr>
        <sz val="10.5"/>
        <rFont val="Noto Sans CJK SC"/>
        <charset val="134"/>
      </rPr>
      <t>列</t>
    </r>
    <r>
      <rPr>
        <sz val="10.5"/>
        <rFont val="等线"/>
        <charset val="134"/>
      </rPr>
      <t>)</t>
    </r>
    <r>
      <rPr>
        <sz val="10.5"/>
        <rFont val="Noto Sans CJK SC"/>
        <charset val="134"/>
      </rPr>
      <t>与明细开关是两级与关系。</t>
    </r>
  </si>
  <si>
    <t>编号</t>
  </si>
  <si>
    <t>标准科目</t>
  </si>
  <si>
    <t>计算式</t>
  </si>
  <si>
    <t>变量1标签</t>
  </si>
  <si>
    <t>值</t>
  </si>
  <si>
    <t>变量2标签</t>
  </si>
  <si>
    <t>变量3标签</t>
  </si>
  <si>
    <t>变量4标签</t>
  </si>
  <si>
    <t>变量5标签</t>
  </si>
  <si>
    <t>凭证直接核定金额(元,优先)</t>
  </si>
  <si>
    <t>核定损失(元,自动)</t>
  </si>
  <si>
    <r>
      <rPr>
        <b/>
        <sz val="10"/>
        <color rgb="FFFFFFFF"/>
        <rFont val="Noto Sans CJK SC"/>
        <charset val="134"/>
      </rPr>
      <t>计入</t>
    </r>
    <r>
      <rPr>
        <b/>
        <sz val="10"/>
        <color rgb="FFFFFFFF"/>
        <rFont val="等线"/>
        <charset val="134"/>
      </rPr>
      <t>?(</t>
    </r>
    <r>
      <rPr>
        <b/>
        <sz val="10"/>
        <color rgb="FFFFFFFF"/>
        <rFont val="Noto Sans CJK SC"/>
        <charset val="134"/>
      </rPr>
      <t>承保过滤</t>
    </r>
    <r>
      <rPr>
        <b/>
        <sz val="10"/>
        <color rgb="FFFFFFFF"/>
        <rFont val="等线"/>
        <charset val="134"/>
      </rPr>
      <t>)</t>
    </r>
  </si>
  <si>
    <r>
      <rPr>
        <b/>
        <sz val="10"/>
        <color rgb="FFFFFFFF"/>
        <rFont val="Noto Sans CJK SC"/>
        <charset val="134"/>
      </rPr>
      <t>计入金额</t>
    </r>
    <r>
      <rPr>
        <b/>
        <sz val="10"/>
        <color rgb="FFFFFFFF"/>
        <rFont val="等线"/>
        <charset val="134"/>
      </rPr>
      <t>(</t>
    </r>
    <r>
      <rPr>
        <b/>
        <sz val="10"/>
        <color rgb="FFFFFFFF"/>
        <rFont val="Noto Sans CJK SC"/>
        <charset val="134"/>
      </rPr>
      <t>元</t>
    </r>
    <r>
      <rPr>
        <b/>
        <sz val="10"/>
        <color rgb="FFFFFFFF"/>
        <rFont val="等线"/>
        <charset val="134"/>
      </rPr>
      <t>,</t>
    </r>
    <r>
      <rPr>
        <b/>
        <sz val="10"/>
        <color rgb="FFFFFFFF"/>
        <rFont val="Noto Sans CJK SC"/>
        <charset val="134"/>
      </rPr>
      <t>自动</t>
    </r>
    <r>
      <rPr>
        <b/>
        <sz val="10"/>
        <color rgb="FFFFFFFF"/>
        <rFont val="等线"/>
        <charset val="134"/>
      </rPr>
      <t>)</t>
    </r>
  </si>
  <si>
    <t>提示</t>
  </si>
  <si>
    <r>
      <rPr>
        <b/>
        <sz val="10.5"/>
        <rFont val="等线"/>
        <charset val="134"/>
      </rPr>
      <t xml:space="preserve">F1 </t>
    </r>
    <r>
      <rPr>
        <b/>
        <sz val="10.5"/>
        <rFont val="Noto Sans CJK SC"/>
        <charset val="134"/>
      </rPr>
      <t>事件响应与调查取证费</t>
    </r>
    <r>
      <rPr>
        <b/>
        <sz val="10.5"/>
        <rFont val="等线"/>
        <charset val="134"/>
      </rPr>
      <t>(11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</si>
  <si>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F1-01</t>
  </si>
  <si>
    <t>外部事件响应与专家服务费</t>
  </si>
  <si>
    <t>工时 × 费率(参考800–3000元/h,默认1500可改)</t>
  </si>
  <si>
    <t>响应/专家工时(h)</t>
  </si>
  <si>
    <t>费率(元/h)</t>
  </si>
  <si>
    <t>ON</t>
  </si>
  <si>
    <t>工时须签到表佐证</t>
  </si>
  <si>
    <t>F1-02</t>
  </si>
  <si>
    <t>取证调查费</t>
  </si>
  <si>
    <t>工时 × 费率,或按取证机构发票</t>
  </si>
  <si>
    <t>取证工时(h)</t>
  </si>
  <si>
    <r>
      <rPr>
        <sz val="10"/>
        <rFont val="等线"/>
        <charset val="134"/>
      </rPr>
      <t>Panel Vendor</t>
    </r>
    <r>
      <rPr>
        <sz val="10"/>
        <rFont val="Noto Sans CJK SC"/>
        <charset val="134"/>
      </rPr>
      <t>须事先书面同意</t>
    </r>
  </si>
  <si>
    <t>F1-03</t>
  </si>
  <si>
    <t>取证镜像费</t>
  </si>
  <si>
    <t>镜像数量 × 单价(参考500–2000元/个,默认1250)</t>
  </si>
  <si>
    <t>镜像数量(个)</t>
  </si>
  <si>
    <t>单价(元/个)</t>
  </si>
  <si>
    <t>按镜像清单及验收单</t>
  </si>
  <si>
    <t>F1-04</t>
  </si>
  <si>
    <t>证据保全费</t>
  </si>
  <si>
    <t>保全机构发票核定</t>
  </si>
  <si>
    <t>附保全清单</t>
  </si>
  <si>
    <t>F1-05</t>
  </si>
  <si>
    <t>威胁狩猎费</t>
  </si>
  <si>
    <t>合同单价 × 服务时长</t>
  </si>
  <si>
    <t>服务时长(期)</t>
  </si>
  <si>
    <t>期单价(元)</t>
  </si>
  <si>
    <t>附交付报告</t>
  </si>
  <si>
    <t>F1-06</t>
  </si>
  <si>
    <t>供应链调查费</t>
  </si>
  <si>
    <t>第三方调查机构发票核定</t>
  </si>
  <si>
    <t>附供应商安全公告</t>
  </si>
  <si>
    <t>F1-07</t>
  </si>
  <si>
    <t>外部审计评估费</t>
  </si>
  <si>
    <t>审计机构合同金额核定</t>
  </si>
  <si>
    <t>附审计报告</t>
  </si>
  <si>
    <t>F1-08</t>
  </si>
  <si>
    <t>电子签名验证费</t>
  </si>
  <si>
    <t>验证机构发票核定</t>
  </si>
  <si>
    <t>来源场景※</t>
  </si>
  <si>
    <t>F1-09</t>
  </si>
  <si>
    <t>干扰源定位费</t>
  </si>
  <si>
    <t>检测机构发票核定</t>
  </si>
  <si>
    <t>限电磁干扰场景</t>
  </si>
  <si>
    <t>F1-10</t>
  </si>
  <si>
    <t>资金追回费</t>
  </si>
  <si>
    <t>追偿机构服务费发票核定</t>
  </si>
  <si>
    <r>
      <rPr>
        <sz val="10"/>
        <rFont val="Noto Sans CJK SC"/>
        <charset val="134"/>
      </rPr>
      <t>仅服务费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被骗资金不在此</t>
    </r>
  </si>
  <si>
    <t>F1-11</t>
  </si>
  <si>
    <t>临时工具采购费</t>
  </si>
  <si>
    <t>工具采购发票核定</t>
  </si>
  <si>
    <t>附用途说明</t>
  </si>
  <si>
    <r>
      <rPr>
        <b/>
        <sz val="10.5"/>
        <rFont val="等线"/>
        <charset val="134"/>
      </rPr>
      <t xml:space="preserve">F2 </t>
    </r>
    <r>
      <rPr>
        <b/>
        <sz val="10.5"/>
        <rFont val="Noto Sans CJK SC"/>
        <charset val="134"/>
      </rPr>
      <t>系统与数据恢复重建费</t>
    </r>
    <r>
      <rPr>
        <b/>
        <sz val="10.5"/>
        <rFont val="等线"/>
        <charset val="134"/>
      </rPr>
      <t>(11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</si>
  <si>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F2-01</t>
  </si>
  <si>
    <t>系统恢复重建费</t>
  </si>
  <si>
    <t>恢复/重建工时 × 工程师费率</t>
  </si>
  <si>
    <t>工时(h)</t>
  </si>
  <si>
    <t>违规场景须证非故意</t>
  </si>
  <si>
    <t>F2-02</t>
  </si>
  <si>
    <t>恶意组件清理费</t>
  </si>
  <si>
    <t>清理工时 × 费率</t>
  </si>
  <si>
    <t>附清理验收单</t>
  </si>
  <si>
    <t>F2-03</t>
  </si>
  <si>
    <t>数据恢复费</t>
  </si>
  <si>
    <t>恢复数据量 × 服务商单价</t>
  </si>
  <si>
    <t>恢复量(GB)</t>
  </si>
  <si>
    <t>单价(元/GB)</t>
  </si>
  <si>
    <t>恢复量以备份日志为准</t>
  </si>
  <si>
    <t>F2-04</t>
  </si>
  <si>
    <t>备份重建费</t>
  </si>
  <si>
    <t>备份重建工时 × 费率</t>
  </si>
  <si>
    <t>从运维记录提取</t>
  </si>
  <si>
    <t>F2-05</t>
  </si>
  <si>
    <t>数据迁移费</t>
  </si>
  <si>
    <t>迁移数据量 × 单价</t>
  </si>
  <si>
    <t>迁移量(GB)</t>
  </si>
  <si>
    <t>F2-06</t>
  </si>
  <si>
    <t>数据集清理费</t>
  </si>
  <si>
    <r>
      <rPr>
        <sz val="10"/>
        <rFont val="等线"/>
        <charset val="134"/>
      </rPr>
      <t>AI</t>
    </r>
    <r>
      <rPr>
        <sz val="10"/>
        <rFont val="Noto Sans CJK SC"/>
        <charset val="134"/>
      </rPr>
      <t>数据投毒场景</t>
    </r>
  </si>
  <si>
    <t>F2-07</t>
  </si>
  <si>
    <t>网页与内容恢复费</t>
  </si>
  <si>
    <t>恢复/清理条目数 × 单价</t>
  </si>
  <si>
    <t>条目(页)数</t>
  </si>
  <si>
    <t>单价(元/条)</t>
  </si>
  <si>
    <t>附篡改前后截图</t>
  </si>
  <si>
    <t>F2-08</t>
  </si>
  <si>
    <t>域名/DNS恢复费</t>
  </si>
  <si>
    <t>域名/DNS服务商账单核定</t>
  </si>
  <si>
    <t>附操作日志</t>
  </si>
  <si>
    <t>F2-09</t>
  </si>
  <si>
    <t>网络与配置恢复费</t>
  </si>
  <si>
    <t>工程师工时 × 费率</t>
  </si>
  <si>
    <t>F2-10</t>
  </si>
  <si>
    <t>抢修与安装费</t>
  </si>
  <si>
    <t>抢修/安装工时 × 费率</t>
  </si>
  <si>
    <t>F2-11</t>
  </si>
  <si>
    <t>环境清理费</t>
  </si>
  <si>
    <t>清理合同金额核定</t>
  </si>
  <si>
    <r>
      <rPr>
        <sz val="10"/>
        <rFont val="Noto Sans CJK SC"/>
        <charset val="134"/>
      </rPr>
      <t>特约※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附灾害证明</t>
    </r>
  </si>
  <si>
    <r>
      <rPr>
        <b/>
        <sz val="10.5"/>
        <rFont val="等线"/>
        <charset val="134"/>
      </rPr>
      <t xml:space="preserve">F3 </t>
    </r>
    <r>
      <rPr>
        <b/>
        <sz val="10.5"/>
        <rFont val="Noto Sans CJK SC"/>
        <charset val="134"/>
      </rPr>
      <t>整改加固与漏洞修复费</t>
    </r>
    <r>
      <rPr>
        <b/>
        <sz val="10.5"/>
        <rFont val="等线"/>
        <charset val="134"/>
      </rPr>
      <t>(5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</si>
  <si>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F3-01</t>
  </si>
  <si>
    <t>漏洞修补费</t>
  </si>
  <si>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高危</t>
    </r>
    <r>
      <rPr>
        <sz val="11"/>
        <color theme="1"/>
        <rFont val="Calibri"/>
        <charset val="1"/>
      </rPr>
      <t>×4h+</t>
    </r>
    <r>
      <rPr>
        <sz val="11"/>
        <color theme="1"/>
        <rFont val="Noto Sans CJK SC"/>
        <charset val="134"/>
      </rPr>
      <t>中危</t>
    </r>
    <r>
      <rPr>
        <sz val="11"/>
        <color theme="1"/>
        <rFont val="Calibri"/>
        <charset val="1"/>
      </rPr>
      <t>×2h+</t>
    </r>
    <r>
      <rPr>
        <sz val="11"/>
        <color theme="1"/>
        <rFont val="Noto Sans CJK SC"/>
        <charset val="134"/>
      </rPr>
      <t>低危</t>
    </r>
    <r>
      <rPr>
        <sz val="11"/>
        <color theme="1"/>
        <rFont val="Calibri"/>
        <charset val="1"/>
      </rPr>
      <t xml:space="preserve">×1h) × </t>
    </r>
    <r>
      <rPr>
        <sz val="11"/>
        <color theme="1"/>
        <rFont val="Noto Sans CJK SC"/>
        <charset val="134"/>
      </rPr>
      <t xml:space="preserve">费率 </t>
    </r>
    <r>
      <rPr>
        <sz val="11"/>
        <color theme="1"/>
        <rFont val="Calibri"/>
        <charset val="1"/>
      </rPr>
      <t xml:space="preserve">× </t>
    </r>
    <r>
      <rPr>
        <sz val="11"/>
        <color theme="1"/>
        <rFont val="Noto Sans CJK SC"/>
        <charset val="134"/>
      </rPr>
      <t>加急系数</t>
    </r>
    <r>
      <rPr>
        <sz val="11"/>
        <color theme="1"/>
        <rFont val="Calibri"/>
        <charset val="1"/>
      </rPr>
      <t>(1.5–2,</t>
    </r>
    <r>
      <rPr>
        <sz val="11"/>
        <color theme="1"/>
        <rFont val="Noto Sans CJK SC"/>
        <charset val="134"/>
      </rPr>
      <t>常规</t>
    </r>
    <r>
      <rPr>
        <sz val="11"/>
        <color theme="1"/>
        <rFont val="Calibri"/>
        <charset val="1"/>
      </rPr>
      <t>=1)</t>
    </r>
  </si>
  <si>
    <t>高危CVE数</t>
  </si>
  <si>
    <t>中危CVE数</t>
  </si>
  <si>
    <t>低危CVE数</t>
  </si>
  <si>
    <t>加急系数</t>
  </si>
  <si>
    <r>
      <rPr>
        <sz val="10"/>
        <rFont val="Noto Sans CJK SC"/>
        <charset val="134"/>
      </rPr>
      <t>工时基准为行业假设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可校准</t>
    </r>
  </si>
  <si>
    <t>F3-02</t>
  </si>
  <si>
    <t>系统与设施加固费</t>
  </si>
  <si>
    <t>加固/整改清单逐项核定(合同+验收总额)</t>
  </si>
  <si>
    <r>
      <rPr>
        <sz val="10"/>
        <rFont val="Noto Sans CJK SC"/>
        <charset val="134"/>
      </rPr>
      <t>仅事件驱动整改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预防性除外</t>
    </r>
  </si>
  <si>
    <t>F3-03</t>
  </si>
  <si>
    <t>渗透测试费</t>
  </si>
  <si>
    <t>测试机构发票核定</t>
  </si>
  <si>
    <t>限整改验证</t>
  </si>
  <si>
    <t>F3-04</t>
  </si>
  <si>
    <t>事件后安全培训费</t>
  </si>
  <si>
    <t>参训人数 × 人均单价</t>
  </si>
  <si>
    <t>参训人数</t>
  </si>
  <si>
    <t>人均单价(元)</t>
  </si>
  <si>
    <t>限事件后针对性培训</t>
  </si>
  <si>
    <t>F3-05</t>
  </si>
  <si>
    <t>商业秘密保护费</t>
  </si>
  <si>
    <t>保护措施合同金额核定</t>
  </si>
  <si>
    <t>扩展条款</t>
  </si>
  <si>
    <r>
      <rPr>
        <b/>
        <sz val="10.5"/>
        <rFont val="等线"/>
        <charset val="134"/>
      </rPr>
      <t xml:space="preserve">F4 </t>
    </r>
    <r>
      <rPr>
        <b/>
        <sz val="10.5"/>
        <rFont val="Noto Sans CJK SC"/>
        <charset val="134"/>
      </rPr>
      <t>法律与合规服务费</t>
    </r>
    <r>
      <rPr>
        <b/>
        <sz val="10.5"/>
        <rFont val="等线"/>
        <charset val="134"/>
      </rPr>
      <t>(2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</si>
  <si>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F4-01</t>
  </si>
  <si>
    <t>律师服务费(非诉)</t>
  </si>
  <si>
    <t>小时费率 × 工时(律师费账单)</t>
  </si>
  <si>
    <t>小时费率(元)</t>
  </si>
  <si>
    <t>附工时明细</t>
  </si>
  <si>
    <t>F4-02</t>
  </si>
  <si>
    <t>合规顾问费</t>
  </si>
  <si>
    <t>顾问合同金额核定</t>
  </si>
  <si>
    <r>
      <rPr>
        <b/>
        <sz val="10.5"/>
        <rFont val="等线"/>
        <charset val="134"/>
      </rPr>
      <t xml:space="preserve">F5 </t>
    </r>
    <r>
      <rPr>
        <b/>
        <sz val="10.5"/>
        <rFont val="Noto Sans CJK SC"/>
        <charset val="134"/>
      </rPr>
      <t>公关声誉与内容处置费</t>
    </r>
    <r>
      <rPr>
        <b/>
        <sz val="10.5"/>
        <rFont val="等线"/>
        <charset val="134"/>
      </rPr>
      <t>(5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</si>
  <si>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F5-01</t>
  </si>
  <si>
    <t>公关服务费</t>
  </si>
  <si>
    <t>公关公司合同/发票核定</t>
  </si>
  <si>
    <t>紧急属性须合同注明</t>
  </si>
  <si>
    <t>F5-02</t>
  </si>
  <si>
    <t>品牌监测费</t>
  </si>
  <si>
    <t>监测机构合同金额核定</t>
  </si>
  <si>
    <t>F5-03</t>
  </si>
  <si>
    <t>平台下架费</t>
  </si>
  <si>
    <t>下架次数 × 平台单价</t>
  </si>
  <si>
    <t>下架次数</t>
  </si>
  <si>
    <t>单价(元/次)</t>
  </si>
  <si>
    <t>按平台操作日志</t>
  </si>
  <si>
    <t>F5-04</t>
  </si>
  <si>
    <t>广告重投费</t>
  </si>
  <si>
    <t>重投投放量 × 单价(仅重投部分)</t>
  </si>
  <si>
    <t>重投量</t>
  </si>
  <si>
    <t>单价(元)</t>
  </si>
  <si>
    <t>账单须区分重投</t>
  </si>
  <si>
    <t>F5-05</t>
  </si>
  <si>
    <t>业务关系修复费</t>
  </si>
  <si>
    <t>修复活动合同金额核定</t>
  </si>
  <si>
    <r>
      <rPr>
        <b/>
        <sz val="10.5"/>
        <rFont val="等线"/>
        <charset val="134"/>
      </rPr>
      <t xml:space="preserve">F6 </t>
    </r>
    <r>
      <rPr>
        <b/>
        <sz val="10.5"/>
        <rFont val="Noto Sans CJK SC"/>
        <charset val="134"/>
      </rPr>
      <t>通知与客户响应费</t>
    </r>
    <r>
      <rPr>
        <b/>
        <sz val="10.5"/>
        <rFont val="等线"/>
        <charset val="134"/>
      </rPr>
      <t>(5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</si>
  <si>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F6-01</t>
  </si>
  <si>
    <t>受影响对象识别费</t>
  </si>
  <si>
    <t>识别服务商合同金额核定</t>
  </si>
  <si>
    <t>F6-02</t>
  </si>
  <si>
    <t>通知费</t>
  </si>
  <si>
    <t>渠道1人数×单价 + 渠道2人数×单价(短信0.05–0.2/邮件0.1–0.5/电话按呼叫中心费率)</t>
  </si>
  <si>
    <t>渠道1人数</t>
  </si>
  <si>
    <t>渠道1单价(元)</t>
  </si>
  <si>
    <t>渠道2人数</t>
  </si>
  <si>
    <t>渠道2单价(元)</t>
  </si>
  <si>
    <t>人数以影响评估报告为准</t>
  </si>
  <si>
    <t>F6-03</t>
  </si>
  <si>
    <t>信用监控费</t>
  </si>
  <si>
    <t>监控人数 × 月费 × 月数</t>
  </si>
  <si>
    <t>监控人数</t>
  </si>
  <si>
    <t>月费(元/人·月)</t>
  </si>
  <si>
    <t>监控月数</t>
  </si>
  <si>
    <t>国内适用低</t>
  </si>
  <si>
    <t>F6-04</t>
  </si>
  <si>
    <t>换卡费</t>
  </si>
  <si>
    <t>换卡数量 × 单卡成本</t>
  </si>
  <si>
    <t>换卡数量</t>
  </si>
  <si>
    <t>单卡成本(元)</t>
  </si>
  <si>
    <t>F6-05</t>
  </si>
  <si>
    <t>客服响应费</t>
  </si>
  <si>
    <t>客服加班工时 × 费率</t>
  </si>
  <si>
    <t>加班工时(h)</t>
  </si>
  <si>
    <t>按排班加班记录</t>
  </si>
  <si>
    <r>
      <rPr>
        <b/>
        <sz val="10.5"/>
        <rFont val="等线"/>
        <charset val="134"/>
      </rPr>
      <t xml:space="preserve">F7 </t>
    </r>
    <r>
      <rPr>
        <b/>
        <sz val="10.5"/>
        <rFont val="Noto Sans CJK SC"/>
        <charset val="134"/>
      </rPr>
      <t>临时替代与应急运营费</t>
    </r>
    <r>
      <rPr>
        <b/>
        <sz val="10.5"/>
        <rFont val="等线"/>
        <charset val="134"/>
      </rPr>
      <t>(7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</si>
  <si>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F7-01</t>
  </si>
  <si>
    <t>应急防护与DDoS缓解费</t>
  </si>
  <si>
    <t>云防护账单/租赁合同核定</t>
  </si>
  <si>
    <r>
      <rPr>
        <sz val="10"/>
        <rFont val="Noto Sans CJK SC"/>
        <charset val="134"/>
      </rPr>
      <t>攻击时段以</t>
    </r>
    <r>
      <rPr>
        <sz val="10"/>
        <rFont val="等线"/>
        <charset val="134"/>
      </rPr>
      <t>NTA</t>
    </r>
    <r>
      <rPr>
        <sz val="10"/>
        <rFont val="Noto Sans CJK SC"/>
        <charset val="134"/>
      </rPr>
      <t>报告认定</t>
    </r>
  </si>
  <si>
    <t>F7-02</t>
  </si>
  <si>
    <t>带宽扩容费</t>
  </si>
  <si>
    <t>扩容时长 × 期单价</t>
  </si>
  <si>
    <t>扩容时长(期)</t>
  </si>
  <si>
    <t>F7-03</t>
  </si>
  <si>
    <t>临时替代设施费</t>
  </si>
  <si>
    <t>使用天数 × 日租金</t>
  </si>
  <si>
    <t>使用天数</t>
  </si>
  <si>
    <t>日租金(元)</t>
  </si>
  <si>
    <t>部分场景※</t>
  </si>
  <si>
    <t>F7-04</t>
  </si>
  <si>
    <t>临时人力与外包费</t>
  </si>
  <si>
    <t>招聘/外包合同金额核定</t>
  </si>
  <si>
    <t>存量场景※为主</t>
  </si>
  <si>
    <t>F7-05</t>
  </si>
  <si>
    <t>替代服务与云采购费</t>
  </si>
  <si>
    <t>替代服务合同金额核定(限中断期间)</t>
  </si>
  <si>
    <t>F7-06</t>
  </si>
  <si>
    <t>加急采购溢价</t>
  </si>
  <si>
    <t>加急合同溢价部分金额核定</t>
  </si>
  <si>
    <r>
      <rPr>
        <sz val="10"/>
        <rFont val="Noto Sans CJK SC"/>
        <charset val="134"/>
      </rPr>
      <t>扩展条款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仅溢价部分</t>
    </r>
  </si>
  <si>
    <t>F7-07</t>
  </si>
  <si>
    <t>紧急安保费</t>
  </si>
  <si>
    <t>安保合同金额核定</t>
  </si>
  <si>
    <t>存量场景※</t>
  </si>
  <si>
    <r>
      <rPr>
        <b/>
        <sz val="10.5"/>
        <rFont val="等线"/>
        <charset val="134"/>
      </rPr>
      <t xml:space="preserve">F8 </t>
    </r>
    <r>
      <rPr>
        <b/>
        <sz val="10.5"/>
        <rFont val="Noto Sans CJK SC"/>
        <charset val="134"/>
      </rPr>
      <t>品牌修复费</t>
    </r>
    <r>
      <rPr>
        <b/>
        <sz val="10.5"/>
        <rFont val="等线"/>
        <charset val="134"/>
      </rPr>
      <t>(</t>
    </r>
    <r>
      <rPr>
        <b/>
        <sz val="10.5"/>
        <rFont val="Noto Sans CJK SC"/>
        <charset val="134"/>
      </rPr>
      <t>单列</t>
    </r>
    <r>
      <rPr>
        <b/>
        <sz val="10.5"/>
        <rFont val="等线"/>
        <charset val="134"/>
      </rPr>
      <t>)(1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</si>
  <si>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F8-01</t>
  </si>
  <si>
    <t>品牌修复费</t>
  </si>
  <si>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事件前−事件后</t>
    </r>
    <r>
      <rPr>
        <sz val="11"/>
        <color theme="1"/>
        <rFont val="Calibri"/>
        <charset val="1"/>
      </rPr>
      <t>)/</t>
    </r>
    <r>
      <rPr>
        <sz val="11"/>
        <color theme="1"/>
        <rFont val="Noto Sans CJK SC"/>
        <charset val="134"/>
      </rPr>
      <t xml:space="preserve">事件前 </t>
    </r>
    <r>
      <rPr>
        <sz val="11"/>
        <color theme="1"/>
        <rFont val="Calibri"/>
        <charset val="1"/>
      </rPr>
      <t xml:space="preserve">× </t>
    </r>
    <r>
      <rPr>
        <sz val="11"/>
        <color theme="1"/>
        <rFont val="Noto Sans CJK SC"/>
        <charset val="134"/>
      </rPr>
      <t>品牌修复分项限额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须特约</t>
    </r>
    <r>
      <rPr>
        <sz val="11"/>
        <color theme="1"/>
        <rFont val="Calibri"/>
        <charset val="1"/>
      </rPr>
      <t>)</t>
    </r>
  </si>
  <si>
    <t>事件前品牌价值(元)</t>
  </si>
  <si>
    <t>事件后品牌价值(元)</t>
  </si>
  <si>
    <t>品牌修复分项限额(元)</t>
  </si>
  <si>
    <r>
      <rPr>
        <sz val="10"/>
        <rFont val="Noto Sans CJK SC"/>
        <charset val="134"/>
      </rPr>
      <t>间接</t>
    </r>
    <r>
      <rPr>
        <sz val="10"/>
        <rFont val="等线"/>
        <charset val="134"/>
      </rPr>
      <t>;</t>
    </r>
    <r>
      <rPr>
        <sz val="10"/>
        <rFont val="Noto Sans CJK SC"/>
        <charset val="134"/>
      </rPr>
      <t>须评估机构报告</t>
    </r>
    <r>
      <rPr>
        <sz val="10"/>
        <rFont val="等线"/>
        <charset val="134"/>
      </rPr>
      <t>;</t>
    </r>
    <r>
      <rPr>
        <sz val="10"/>
        <rFont val="Noto Sans CJK SC"/>
        <charset val="134"/>
      </rPr>
      <t>无特约不赔</t>
    </r>
  </si>
  <si>
    <r>
      <rPr>
        <b/>
        <sz val="10.5"/>
        <rFont val="等线"/>
        <charset val="134"/>
      </rPr>
      <t xml:space="preserve">S1 </t>
    </r>
    <r>
      <rPr>
        <b/>
        <sz val="10.5"/>
        <rFont val="Noto Sans CJK SC"/>
        <charset val="134"/>
      </rPr>
      <t>营业中断收入损失</t>
    </r>
    <r>
      <rPr>
        <b/>
        <sz val="10.5"/>
        <rFont val="等线"/>
        <charset val="134"/>
      </rPr>
      <t>(3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</si>
  <si>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测法选择→</t>
  </si>
  <si>
    <t>公式外推法</t>
  </si>
  <si>
    <t>S1-01</t>
  </si>
  <si>
    <t>自身系统中断收入损失</t>
  </si>
  <si>
    <t>日均收入 × MAX(中断天数−等待期,0) × 毛利率 × 影响比例</t>
  </si>
  <si>
    <t>日均收入(元,前12个月)</t>
  </si>
  <si>
    <t>中断天数</t>
  </si>
  <si>
    <t>等待期(天)</t>
  </si>
  <si>
    <t>毛利率(0–1)</t>
  </si>
  <si>
    <t>影响比例(0–1)</t>
  </si>
  <si>
    <t>财务与监控日志交叉验证</t>
  </si>
  <si>
    <t>S1-02</t>
  </si>
  <si>
    <t>依赖中断收入损失(第三方/云)</t>
  </si>
  <si>
    <t>同S1-01口径;中断期间以供应商公告认定</t>
  </si>
  <si>
    <t>日均收入(元)</t>
  </si>
  <si>
    <r>
      <rPr>
        <sz val="10"/>
        <rFont val="Noto Sans CJK SC"/>
        <charset val="134"/>
      </rPr>
      <t>依赖中断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多需扩展条款</t>
    </r>
  </si>
  <si>
    <t>S1-03</t>
  </si>
  <si>
    <t>营业中断损失(事后建模口径)</t>
  </si>
  <si>
    <r>
      <rPr>
        <sz val="11"/>
        <color theme="1"/>
        <rFont val="Calibri"/>
        <charset val="1"/>
      </rPr>
      <t>MAX(</t>
    </r>
    <r>
      <rPr>
        <sz val="11"/>
        <color theme="1"/>
        <rFont val="Noto Sans CJK SC"/>
        <charset val="134"/>
      </rPr>
      <t>基线收入−事件期间实际收入</t>
    </r>
    <r>
      <rPr>
        <sz val="11"/>
        <color theme="1"/>
        <rFont val="Calibri"/>
        <charset val="1"/>
      </rPr>
      <t xml:space="preserve">,0) × </t>
    </r>
    <r>
      <rPr>
        <sz val="11"/>
        <color theme="1"/>
        <rFont val="Noto Sans CJK SC"/>
        <charset val="134"/>
      </rPr>
      <t xml:space="preserve">毛利率 </t>
    </r>
    <r>
      <rPr>
        <sz val="11"/>
        <color theme="1"/>
        <rFont val="Calibri"/>
        <charset val="1"/>
      </rPr>
      <t xml:space="preserve">× </t>
    </r>
    <r>
      <rPr>
        <sz val="11"/>
        <color theme="1"/>
        <rFont val="Noto Sans CJK SC"/>
        <charset val="134"/>
      </rPr>
      <t>影响比例</t>
    </r>
  </si>
  <si>
    <t>基线期间收入(元)</t>
  </si>
  <si>
    <t>事件期间实际收入(元)</t>
  </si>
  <si>
    <r>
      <rPr>
        <sz val="10"/>
        <rFont val="Noto Sans CJK SC"/>
        <charset val="134"/>
      </rPr>
      <t>间接口径</t>
    </r>
    <r>
      <rPr>
        <sz val="10"/>
        <rFont val="等线"/>
        <charset val="134"/>
      </rPr>
      <t>;</t>
    </r>
    <r>
      <rPr>
        <sz val="10"/>
        <rFont val="Noto Sans CJK SC"/>
        <charset val="134"/>
      </rPr>
      <t>与</t>
    </r>
    <r>
      <rPr>
        <sz val="10"/>
        <rFont val="等线"/>
        <charset val="134"/>
      </rPr>
      <t>S1-01/02</t>
    </r>
    <r>
      <rPr>
        <sz val="10"/>
        <rFont val="Noto Sans CJK SC"/>
        <charset val="134"/>
      </rPr>
      <t>二选一</t>
    </r>
  </si>
  <si>
    <t>规则①</t>
  </si>
  <si>
    <r>
      <rPr>
        <sz val="10"/>
        <rFont val="等线"/>
        <charset val="134"/>
      </rPr>
      <t>SLA</t>
    </r>
    <r>
      <rPr>
        <sz val="10"/>
        <rFont val="Noto Sans CJK SC"/>
        <charset val="134"/>
      </rPr>
      <t>已获赔偿抵扣</t>
    </r>
  </si>
  <si>
    <t>已从云服务商/供应商获得的SLA赔偿,汇总时从S1核定损失中扣减(不超过S1小计)</t>
  </si>
  <si>
    <t>已获SLA赔偿(元)</t>
  </si>
  <si>
    <r>
      <rPr>
        <b/>
        <sz val="10.5"/>
        <rFont val="等线"/>
        <charset val="134"/>
      </rPr>
      <t xml:space="preserve">S2 </t>
    </r>
    <r>
      <rPr>
        <b/>
        <sz val="10.5"/>
        <rFont val="Noto Sans CJK SC"/>
        <charset val="134"/>
      </rPr>
      <t>自有财产与资源损失</t>
    </r>
    <r>
      <rPr>
        <b/>
        <sz val="10.5"/>
        <rFont val="等线"/>
        <charset val="134"/>
      </rPr>
      <t>(5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</si>
  <si>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S2-01</t>
  </si>
  <si>
    <t>设备替换采购费</t>
  </si>
  <si>
    <t>设备采购合同金额核定</t>
  </si>
  <si>
    <r>
      <rPr>
        <sz val="10"/>
        <rFont val="Noto Sans CJK SC"/>
        <charset val="134"/>
      </rPr>
      <t>须</t>
    </r>
    <r>
      <rPr>
        <sz val="10"/>
        <rFont val="等线"/>
        <charset val="134"/>
      </rPr>
      <t>EDR</t>
    </r>
    <r>
      <rPr>
        <sz val="10"/>
        <rFont val="Noto Sans CJK SC"/>
        <charset val="134"/>
      </rPr>
      <t>证明固件不可恢复</t>
    </r>
  </si>
  <si>
    <t>S2-02</t>
  </si>
  <si>
    <t>数据重新采集费</t>
  </si>
  <si>
    <t>采集量 × 单价</t>
  </si>
  <si>
    <t>采集量</t>
  </si>
  <si>
    <t>限数据不可恢复时</t>
  </si>
  <si>
    <t>S2-03</t>
  </si>
  <si>
    <t>第三方数据重新提供费</t>
  </si>
  <si>
    <t>数据采购合同金额核定</t>
  </si>
  <si>
    <t>S2-04</t>
  </si>
  <si>
    <t>模型重新训练费</t>
  </si>
  <si>
    <r>
      <rPr>
        <sz val="11"/>
        <color theme="1"/>
        <rFont val="Calibri"/>
        <charset val="1"/>
      </rPr>
      <t>GPU</t>
    </r>
    <r>
      <rPr>
        <sz val="11"/>
        <color theme="1"/>
        <rFont val="Noto Sans CJK SC"/>
        <charset val="134"/>
      </rPr>
      <t xml:space="preserve">小时 </t>
    </r>
    <r>
      <rPr>
        <sz val="11"/>
        <color theme="1"/>
        <rFont val="Calibri"/>
        <charset val="1"/>
      </rPr>
      <t xml:space="preserve">× </t>
    </r>
    <r>
      <rPr>
        <sz val="11"/>
        <color theme="1"/>
        <rFont val="Noto Sans CJK SC"/>
        <charset val="134"/>
      </rPr>
      <t>单价</t>
    </r>
  </si>
  <si>
    <t>重训GPU小时</t>
  </si>
  <si>
    <t>单价(元/GPU·h)</t>
  </si>
  <si>
    <r>
      <rPr>
        <sz val="10"/>
        <rFont val="Noto Sans CJK SC"/>
        <charset val="134"/>
      </rPr>
      <t>特约</t>
    </r>
    <r>
      <rPr>
        <sz val="10"/>
        <rFont val="等线"/>
        <charset val="134"/>
      </rPr>
      <t>;</t>
    </r>
    <r>
      <rPr>
        <sz val="10"/>
        <rFont val="Noto Sans CJK SC"/>
        <charset val="134"/>
      </rPr>
      <t>从训练日志提取</t>
    </r>
  </si>
  <si>
    <t>S2-05</t>
  </si>
  <si>
    <t>云资源超额费</t>
  </si>
  <si>
    <r>
      <rPr>
        <sz val="11"/>
        <color theme="1"/>
        <rFont val="Calibri"/>
        <charset val="1"/>
      </rPr>
      <t>MAX(</t>
    </r>
    <r>
      <rPr>
        <sz val="11"/>
        <color theme="1"/>
        <rFont val="Noto Sans CJK SC"/>
        <charset val="134"/>
      </rPr>
      <t>异常时段账单 − 基线时段账单</t>
    </r>
    <r>
      <rPr>
        <sz val="11"/>
        <color theme="1"/>
        <rFont val="Calibri"/>
        <charset val="1"/>
      </rPr>
      <t>, 0)</t>
    </r>
  </si>
  <si>
    <t>异常时段账单(元)</t>
  </si>
  <si>
    <t>基线时段账单(元)</t>
  </si>
  <si>
    <r>
      <rPr>
        <sz val="10"/>
        <rFont val="Noto Sans CJK SC"/>
        <charset val="134"/>
      </rPr>
      <t>基线建议取异常前</t>
    </r>
    <r>
      <rPr>
        <sz val="10"/>
        <rFont val="等线"/>
        <charset val="134"/>
      </rPr>
      <t>30</t>
    </r>
    <r>
      <rPr>
        <sz val="10"/>
        <rFont val="Noto Sans CJK SC"/>
        <charset val="134"/>
      </rPr>
      <t>天均值</t>
    </r>
  </si>
  <si>
    <r>
      <rPr>
        <b/>
        <sz val="10.5"/>
        <rFont val="等线"/>
        <charset val="134"/>
      </rPr>
      <t xml:space="preserve">S3 </t>
    </r>
    <r>
      <rPr>
        <b/>
        <sz val="10.5"/>
        <rFont val="Noto Sans CJK SC"/>
        <charset val="134"/>
      </rPr>
      <t>赎金</t>
    </r>
    <r>
      <rPr>
        <b/>
        <sz val="10.5"/>
        <rFont val="等线"/>
        <charset val="134"/>
      </rPr>
      <t>(</t>
    </r>
    <r>
      <rPr>
        <b/>
        <sz val="10.5"/>
        <rFont val="Noto Sans CJK SC"/>
        <charset val="134"/>
      </rPr>
      <t>单列</t>
    </r>
    <r>
      <rPr>
        <b/>
        <sz val="10.5"/>
        <rFont val="等线"/>
        <charset val="134"/>
      </rPr>
      <t>)(1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</si>
  <si>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S3-01</t>
  </si>
  <si>
    <t>赎金</t>
  </si>
  <si>
    <r>
      <rPr>
        <sz val="11"/>
        <color theme="1"/>
        <rFont val="Calibri"/>
        <charset val="1"/>
      </rPr>
      <t>MIN(</t>
    </r>
    <r>
      <rPr>
        <sz val="11"/>
        <color theme="1"/>
        <rFont val="Noto Sans CJK SC"/>
        <charset val="134"/>
      </rPr>
      <t>支付金额</t>
    </r>
    <r>
      <rPr>
        <sz val="11"/>
        <color theme="1"/>
        <rFont val="Calibri"/>
        <charset val="1"/>
      </rPr>
      <t xml:space="preserve">, </t>
    </r>
    <r>
      <rPr>
        <sz val="11"/>
        <color theme="1"/>
        <rFont val="Noto Sans CJK SC"/>
        <charset val="134"/>
      </rPr>
      <t>赎金分项限额</t>
    </r>
    <r>
      <rPr>
        <sz val="11"/>
        <color theme="1"/>
        <rFont val="Calibri"/>
        <charset val="1"/>
      </rPr>
      <t>);</t>
    </r>
    <r>
      <rPr>
        <sz val="11"/>
        <color theme="1"/>
        <rFont val="Noto Sans CJK SC"/>
        <charset val="134"/>
      </rPr>
      <t>限额留空则不封顶</t>
    </r>
  </si>
  <si>
    <t>支付金额(元)</t>
  </si>
  <si>
    <t>赎金分项限额(元)</t>
  </si>
  <si>
    <r>
      <rPr>
        <sz val="10"/>
        <rFont val="Noto Sans CJK SC"/>
        <charset val="134"/>
      </rPr>
      <t>须公安知情</t>
    </r>
    <r>
      <rPr>
        <sz val="10"/>
        <rFont val="等线"/>
        <charset val="134"/>
      </rPr>
      <t>+</t>
    </r>
    <r>
      <rPr>
        <sz val="10"/>
        <rFont val="Noto Sans CJK SC"/>
        <charset val="134"/>
      </rPr>
      <t>保险人书面同意</t>
    </r>
  </si>
  <si>
    <r>
      <rPr>
        <b/>
        <sz val="10.5"/>
        <rFont val="等线"/>
        <charset val="134"/>
      </rPr>
      <t xml:space="preserve">S4 </t>
    </r>
    <r>
      <rPr>
        <b/>
        <sz val="10.5"/>
        <rFont val="Noto Sans CJK SC"/>
        <charset val="134"/>
      </rPr>
      <t>内部人力与额外运营成本</t>
    </r>
    <r>
      <rPr>
        <b/>
        <sz val="10.5"/>
        <rFont val="等线"/>
        <charset val="134"/>
      </rPr>
      <t>(</t>
    </r>
    <r>
      <rPr>
        <b/>
        <sz val="10.5"/>
        <rFont val="Noto Sans CJK SC"/>
        <charset val="134"/>
      </rPr>
      <t>有限</t>
    </r>
    <r>
      <rPr>
        <b/>
        <sz val="10.5"/>
        <rFont val="等线"/>
        <charset val="134"/>
      </rPr>
      <t>)(2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</si>
  <si>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S4-01</t>
  </si>
  <si>
    <t>内部人力工时成本</t>
  </si>
  <si>
    <t>停工/配合调查工时 × 平均工资</t>
  </si>
  <si>
    <t>平均工资(元/h)</t>
  </si>
  <si>
    <t>有限承保</t>
  </si>
  <si>
    <t>S4-02</t>
  </si>
  <si>
    <t>额外运营成本</t>
  </si>
  <si>
    <t>加班工资 + 外包/手工处理金额(仅增量)</t>
  </si>
  <si>
    <t>加班工资(元)</t>
  </si>
  <si>
    <t>外包金额(元)</t>
  </si>
  <si>
    <r>
      <rPr>
        <sz val="10"/>
        <rFont val="Noto Sans CJK SC"/>
        <charset val="134"/>
      </rPr>
      <t>有限</t>
    </r>
    <r>
      <rPr>
        <sz val="10"/>
        <rFont val="等线"/>
        <charset val="134"/>
      </rPr>
      <t>;</t>
    </r>
    <r>
      <rPr>
        <sz val="10"/>
        <rFont val="Noto Sans CJK SC"/>
        <charset val="134"/>
      </rPr>
      <t>须与固定成本切分</t>
    </r>
  </si>
  <si>
    <r>
      <rPr>
        <b/>
        <sz val="10.5"/>
        <rFont val="等线"/>
        <charset val="134"/>
      </rPr>
      <t xml:space="preserve">R1 </t>
    </r>
    <r>
      <rPr>
        <b/>
        <sz val="10.5"/>
        <rFont val="Noto Sans CJK SC"/>
        <charset val="134"/>
      </rPr>
      <t>第三方赔偿与和解责任</t>
    </r>
    <r>
      <rPr>
        <b/>
        <sz val="10.5"/>
        <rFont val="等线"/>
        <charset val="134"/>
      </rPr>
      <t>(6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</si>
  <si>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R1-01</t>
  </si>
  <si>
    <t>数据主体赔偿</t>
  </si>
  <si>
    <t>赔偿人数 × 单人赔偿金额(个保法69条)</t>
  </si>
  <si>
    <t>赔偿人数</t>
  </si>
  <si>
    <t>单人金额(元)</t>
  </si>
  <si>
    <r>
      <rPr>
        <sz val="10"/>
        <rFont val="Noto Sans CJK SC"/>
        <charset val="134"/>
      </rPr>
      <t>以判决</t>
    </r>
    <r>
      <rPr>
        <sz val="10"/>
        <rFont val="等线"/>
        <charset val="134"/>
      </rPr>
      <t>/</t>
    </r>
    <r>
      <rPr>
        <sz val="10"/>
        <rFont val="Noto Sans CJK SC"/>
        <charset val="134"/>
      </rPr>
      <t>和解认定</t>
    </r>
  </si>
  <si>
    <t>R1-02</t>
  </si>
  <si>
    <t>和解与赔偿金</t>
  </si>
  <si>
    <t>和解/赔偿协议金额核定</t>
  </si>
  <si>
    <t>须保险人事先同意</t>
  </si>
  <si>
    <t>R1-03</t>
  </si>
  <si>
    <t>和解协议整改费</t>
  </si>
  <si>
    <t>协议整改项核定金额 × 法律确认(是/否)</t>
  </si>
  <si>
    <t>整改项核定金额(元)</t>
  </si>
  <si>
    <t>法律顾问已确认(是/否)</t>
  </si>
  <si>
    <t>否</t>
  </si>
  <si>
    <t>未确认条款效力不计入</t>
  </si>
  <si>
    <t>R1-04</t>
  </si>
  <si>
    <t>客户与伙伴补偿费</t>
  </si>
  <si>
    <t>补偿协议金额核定</t>
  </si>
  <si>
    <t>R1-05</t>
  </si>
  <si>
    <t>欺诈交易赔偿分摊</t>
  </si>
  <si>
    <t>分摊协议金额核定</t>
  </si>
  <si>
    <t>R1-06</t>
  </si>
  <si>
    <t>违约罚金</t>
  </si>
  <si>
    <t>违约金条款金额核定</t>
  </si>
  <si>
    <t>可保性存疑※</t>
  </si>
  <si>
    <r>
      <rPr>
        <b/>
        <sz val="10.5"/>
        <rFont val="等线"/>
        <charset val="134"/>
      </rPr>
      <t xml:space="preserve">R2 </t>
    </r>
    <r>
      <rPr>
        <b/>
        <sz val="10.5"/>
        <rFont val="Noto Sans CJK SC"/>
        <charset val="134"/>
      </rPr>
      <t>抗辩与应诉费用</t>
    </r>
    <r>
      <rPr>
        <b/>
        <sz val="10.5"/>
        <rFont val="等线"/>
        <charset val="134"/>
      </rPr>
      <t>(3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</si>
  <si>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R2-01</t>
  </si>
  <si>
    <t>诉讼与索赔抗辩费</t>
  </si>
  <si>
    <t>刑事抗辩除外</t>
  </si>
  <si>
    <t>R2-02</t>
  </si>
  <si>
    <t>监管调查抗辩费</t>
  </si>
  <si>
    <t>小时费率 × 工时</t>
  </si>
  <si>
    <t>附监管调查通知书</t>
  </si>
  <si>
    <t>R2-03</t>
  </si>
  <si>
    <t>专家证人费</t>
  </si>
  <si>
    <t>专家费发票核定</t>
  </si>
  <si>
    <r>
      <rPr>
        <b/>
        <sz val="10.5"/>
        <rFont val="等线"/>
        <charset val="134"/>
      </rPr>
      <t xml:space="preserve">R3 </t>
    </r>
    <r>
      <rPr>
        <b/>
        <sz val="10.5"/>
        <rFont val="Noto Sans CJK SC"/>
        <charset val="134"/>
      </rPr>
      <t>支付卡与卡组织相关责任</t>
    </r>
    <r>
      <rPr>
        <b/>
        <sz val="10.5"/>
        <rFont val="等线"/>
        <charset val="134"/>
      </rPr>
      <t>(2</t>
    </r>
    <r>
      <rPr>
        <b/>
        <sz val="10.5"/>
        <rFont val="Noto Sans CJK SC"/>
        <charset val="134"/>
      </rPr>
      <t>项</t>
    </r>
    <r>
      <rPr>
        <b/>
        <sz val="10.5"/>
        <rFont val="等线"/>
        <charset val="134"/>
      </rPr>
      <t>)</t>
    </r>
  </si>
  <si>
    <t>R3-01</t>
  </si>
  <si>
    <t>卡组织评估与调查费</t>
  </si>
  <si>
    <t>卡组织评估/调查账单核定</t>
  </si>
  <si>
    <r>
      <rPr>
        <sz val="10"/>
        <rFont val="等线"/>
        <charset val="134"/>
      </rPr>
      <t>PCI</t>
    </r>
    <r>
      <rPr>
        <sz val="10"/>
        <rFont val="Noto Sans CJK SC"/>
        <charset val="134"/>
      </rPr>
      <t>分项限额常见</t>
    </r>
  </si>
  <si>
    <t>R3-02</t>
  </si>
  <si>
    <t>商户费率调整损失</t>
  </si>
  <si>
    <t>费率差额 × 补偿期间交易量</t>
  </si>
  <si>
    <t>费率差额(小数,如0.003)</t>
  </si>
  <si>
    <t>期间交易量(元)</t>
  </si>
  <si>
    <t>期间须条款约定</t>
  </si>
  <si>
    <t>理赔核算汇总</t>
  </si>
  <si>
    <t>案件编号:</t>
  </si>
  <si>
    <t>案件名称:</t>
  </si>
  <si>
    <t>示例:某公司勒索软件事件(演示数据,使用前清空)</t>
  </si>
  <si>
    <t>核算日期:</t>
  </si>
  <si>
    <t>大类编号</t>
  </si>
  <si>
    <t>赔付大类</t>
  </si>
  <si>
    <t>开关</t>
  </si>
  <si>
    <t>核定损失小计(元)</t>
  </si>
  <si>
    <t>计入金额(元)</t>
  </si>
  <si>
    <t>已填科目数</t>
  </si>
  <si>
    <t>F1</t>
  </si>
  <si>
    <t>事件响应与调查取证费</t>
  </si>
  <si>
    <t>F2</t>
  </si>
  <si>
    <t>系统与数据恢复重建费</t>
  </si>
  <si>
    <t>F3</t>
  </si>
  <si>
    <t>整改加固与漏洞修复费</t>
  </si>
  <si>
    <t>F4</t>
  </si>
  <si>
    <t>法律与合规服务费</t>
  </si>
  <si>
    <t>F5</t>
  </si>
  <si>
    <t>公关声誉与内容处置费</t>
  </si>
  <si>
    <t>F6</t>
  </si>
  <si>
    <t>通知与客户响应费</t>
  </si>
  <si>
    <t>F7</t>
  </si>
  <si>
    <t>临时替代与应急运营费</t>
  </si>
  <si>
    <t>F8</t>
  </si>
  <si>
    <t>品牌修复费(单列)</t>
  </si>
  <si>
    <t>S1</t>
  </si>
  <si>
    <t>营业中断收入损失</t>
  </si>
  <si>
    <t>S2</t>
  </si>
  <si>
    <t>自有财产与资源损失</t>
  </si>
  <si>
    <t>S3</t>
  </si>
  <si>
    <t>赎金(单列)</t>
  </si>
  <si>
    <t>S4</t>
  </si>
  <si>
    <t>内部人力与额外运营成本(有限)</t>
  </si>
  <si>
    <t>R1</t>
  </si>
  <si>
    <t>第三方赔偿与和解责任</t>
  </si>
  <si>
    <t>R2</t>
  </si>
  <si>
    <t>抗辩与应诉费用</t>
  </si>
  <si>
    <t>R3</t>
  </si>
  <si>
    <t>支付卡与卡组织相关责任</t>
  </si>
  <si>
    <t>计入核定损失合计(仅开关ON的大类)</t>
  </si>
  <si>
    <t>减:规则① SLA已获赔偿抵扣(不超过S1计入小计)</t>
  </si>
  <si>
    <t>净核定损失</t>
  </si>
  <si>
    <t>其中:间接损失口径小计(F8-01+S1-03,随开关联动)</t>
  </si>
  <si>
    <t>其中:直接损失口径小计</t>
  </si>
  <si>
    <r>
      <rPr>
        <sz val="10"/>
        <rFont val="Noto Sans CJK SC"/>
        <charset val="134"/>
      </rPr>
      <t>参考</t>
    </r>
    <r>
      <rPr>
        <sz val="10"/>
        <rFont val="等线"/>
        <charset val="134"/>
      </rPr>
      <t>:</t>
    </r>
    <r>
      <rPr>
        <sz val="10"/>
        <rFont val="Noto Sans CJK SC"/>
        <charset val="134"/>
      </rPr>
      <t>事实口径核定总损失</t>
    </r>
    <r>
      <rPr>
        <sz val="10"/>
        <rFont val="等线"/>
        <charset val="134"/>
      </rPr>
      <t>(</t>
    </r>
    <r>
      <rPr>
        <sz val="10"/>
        <rFont val="Noto Sans CJK SC"/>
        <charset val="134"/>
      </rPr>
      <t>全部科目</t>
    </r>
    <r>
      <rPr>
        <sz val="10"/>
        <rFont val="等线"/>
        <charset val="134"/>
      </rPr>
      <t>,</t>
    </r>
    <r>
      <rPr>
        <sz val="10"/>
        <rFont val="Noto Sans CJK SC"/>
        <charset val="134"/>
      </rPr>
      <t>不受任何开关影响</t>
    </r>
    <r>
      <rPr>
        <sz val="10"/>
        <rFont val="等线"/>
        <charset val="134"/>
      </rPr>
      <t>)</t>
    </r>
  </si>
  <si>
    <t>注:两级开关——汇总页C列控制整个大类,科目核算表P列控制单个明细项;明细计入=两级均为ON。开关只影响"计入金额",D列小计与科目核算表"核定损失"列始终显示事实口径。橙色开关格=该科目承保标记含特约/扩展/有限/存疑/※,最可能与保单责任有出入,请逐项核对条款后决定ON/OFF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</si>
</sst>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Calibri"/>
      <charset val="1"/>
    </font>
    <font>
      <b/>
      <sz val="14"/>
      <name val="Noto Sans CJK SC"/>
      <charset val="1"/>
    </font>
    <font>
      <sz val="10"/>
      <name val="Noto Sans CJK SC"/>
      <charset val="1"/>
    </font>
    <font>
      <sz val="10"/>
      <color rgb="FF0000C0"/>
      <name val="等线"/>
      <charset val="134"/>
    </font>
    <font>
      <sz val="10"/>
      <color rgb="FF0000C0"/>
      <name val="Noto Sans CJK SC"/>
      <charset val="1"/>
    </font>
    <font>
      <b/>
      <sz val="10.5"/>
      <color rgb="FFFFFFFF"/>
      <name val="Noto Sans CJK SC"/>
      <charset val="1"/>
    </font>
    <font>
      <sz val="10"/>
      <name val="等线"/>
      <charset val="134"/>
    </font>
    <font>
      <b/>
      <sz val="11"/>
      <name val="Noto Sans CJK SC"/>
      <charset val="1"/>
    </font>
    <font>
      <b/>
      <sz val="12"/>
      <name val="Noto Sans CJK SC"/>
      <charset val="1"/>
    </font>
    <font>
      <b/>
      <sz val="12"/>
      <color rgb="FF006100"/>
      <name val="等线"/>
      <charset val="134"/>
    </font>
    <font>
      <sz val="10"/>
      <name val="Noto Sans CJK SC"/>
      <charset val="134"/>
    </font>
    <font>
      <sz val="9.5"/>
      <color rgb="FF666666"/>
      <name val="Noto Sans CJK SC"/>
      <charset val="1"/>
    </font>
    <font>
      <b/>
      <sz val="10"/>
      <color rgb="FFFFFFFF"/>
      <name val="Noto Sans CJK SC"/>
      <charset val="1"/>
    </font>
    <font>
      <b/>
      <sz val="10"/>
      <color rgb="FFFFFFFF"/>
      <name val="Noto Sans CJK SC"/>
      <charset val="134"/>
    </font>
    <font>
      <b/>
      <sz val="10.5"/>
      <name val="等线"/>
      <charset val="134"/>
    </font>
    <font>
      <sz val="11"/>
      <color theme="1"/>
      <name val="Noto Sans CJK SC"/>
      <charset val="1"/>
    </font>
    <font>
      <b/>
      <sz val="10.5"/>
      <color rgb="FF006100"/>
      <name val="等线"/>
      <charset val="134"/>
    </font>
    <font>
      <b/>
      <sz val="10"/>
      <color rgb="FF0000C0"/>
      <name val="等线"/>
      <charset val="134"/>
    </font>
    <font>
      <b/>
      <sz val="10"/>
      <name val="Noto Sans CJK SC"/>
      <charset val="1"/>
    </font>
    <font>
      <b/>
      <sz val="13"/>
      <name val="Noto Sans CJK SC"/>
      <charset val="1"/>
    </font>
    <font>
      <sz val="10.5"/>
      <name val="等线"/>
      <charset val="134"/>
    </font>
    <font>
      <sz val="10.5"/>
      <name val="Noto Sans CJK SC"/>
      <charset val="1"/>
    </font>
    <font>
      <sz val="10.5"/>
      <name val="Noto Sans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.5"/>
      <name val="Noto Sans CJK SC"/>
      <charset val="134"/>
    </font>
    <font>
      <b/>
      <sz val="10"/>
      <color rgb="FFFFFFFF"/>
      <name val="等线"/>
      <charset val="134"/>
    </font>
    <font>
      <sz val="11"/>
      <color theme="1"/>
      <name val="Noto Sans CJK SC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6D5"/>
        <bgColor rgb="FFFCE4D6"/>
      </patternFill>
    </fill>
    <fill>
      <patternFill patternType="solid">
        <fgColor rgb="FF2F5597"/>
        <bgColor rgb="FF0066CC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CE4D6"/>
        <bgColor rgb="FFFCE4B0"/>
      </patternFill>
    </fill>
    <fill>
      <patternFill patternType="solid">
        <fgColor rgb="FFC6EFCE"/>
        <bgColor rgb="FFE2EFDA"/>
      </patternFill>
    </fill>
    <fill>
      <patternFill patternType="solid">
        <fgColor rgb="FFFCE4B0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9" borderId="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5" applyNumberFormat="0" applyAlignment="0" applyProtection="0">
      <alignment vertical="center"/>
    </xf>
    <xf numFmtId="0" fontId="33" fillId="11" borderId="6" applyNumberFormat="0" applyAlignment="0" applyProtection="0">
      <alignment vertical="center"/>
    </xf>
    <xf numFmtId="0" fontId="34" fillId="11" borderId="5" applyNumberFormat="0" applyAlignment="0" applyProtection="0">
      <alignment vertical="center"/>
    </xf>
    <xf numFmtId="0" fontId="35" fillId="12" borderId="7" applyNumberFormat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/>
    </xf>
    <xf numFmtId="4" fontId="0" fillId="4" borderId="1" xfId="0" applyNumberFormat="1" applyFill="1" applyBorder="1"/>
    <xf numFmtId="0" fontId="0" fillId="4" borderId="1" xfId="0" applyFill="1" applyBorder="1"/>
    <xf numFmtId="0" fontId="6" fillId="5" borderId="1" xfId="0" applyFont="1" applyFill="1" applyBorder="1"/>
    <xf numFmtId="0" fontId="2" fillId="5" borderId="1" xfId="0" applyFont="1" applyFill="1" applyBorder="1"/>
    <xf numFmtId="4" fontId="0" fillId="5" borderId="1" xfId="0" applyNumberFormat="1" applyFill="1" applyBorder="1"/>
    <xf numFmtId="0" fontId="0" fillId="5" borderId="1" xfId="0" applyFill="1" applyBorder="1"/>
    <xf numFmtId="0" fontId="6" fillId="6" borderId="1" xfId="0" applyFont="1" applyFill="1" applyBorder="1"/>
    <xf numFmtId="0" fontId="2" fillId="6" borderId="1" xfId="0" applyFont="1" applyFill="1" applyBorder="1"/>
    <xf numFmtId="4" fontId="0" fillId="6" borderId="1" xfId="0" applyNumberFormat="1" applyFill="1" applyBorder="1"/>
    <xf numFmtId="0" fontId="0" fillId="6" borderId="1" xfId="0" applyFill="1" applyBorder="1"/>
    <xf numFmtId="0" fontId="7" fillId="0" borderId="1" xfId="0" applyFont="1" applyBorder="1"/>
    <xf numFmtId="4" fontId="0" fillId="0" borderId="1" xfId="0" applyNumberFormat="1" applyBorder="1"/>
    <xf numFmtId="0" fontId="2" fillId="0" borderId="1" xfId="0" applyFont="1" applyBorder="1"/>
    <xf numFmtId="0" fontId="8" fillId="0" borderId="1" xfId="0" applyFont="1" applyBorder="1"/>
    <xf numFmtId="4" fontId="9" fillId="7" borderId="1" xfId="0" applyNumberFormat="1" applyFont="1" applyFill="1" applyBorder="1"/>
    <xf numFmtId="0" fontId="0" fillId="0" borderId="1" xfId="0" applyBorder="1"/>
    <xf numFmtId="0" fontId="10" fillId="0" borderId="1" xfId="0" applyFont="1" applyBorder="1"/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/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2" borderId="1" xfId="0" applyFont="1" applyFill="1" applyBorder="1"/>
    <xf numFmtId="4" fontId="3" fillId="2" borderId="1" xfId="0" applyNumberFormat="1" applyFont="1" applyFill="1" applyBorder="1"/>
    <xf numFmtId="4" fontId="16" fillId="7" borderId="1" xfId="0" applyNumberFormat="1" applyFont="1" applyFill="1" applyBorder="1"/>
    <xf numFmtId="0" fontId="1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8" fillId="5" borderId="1" xfId="0" applyFont="1" applyFill="1" applyBorder="1"/>
    <xf numFmtId="0" fontId="4" fillId="2" borderId="1" xfId="0" applyFont="1" applyFill="1" applyBorder="1" applyAlignment="1">
      <alignment horizontal="center"/>
    </xf>
    <xf numFmtId="0" fontId="15" fillId="0" borderId="1" xfId="0" applyFont="1" applyBorder="1"/>
    <xf numFmtId="0" fontId="2" fillId="0" borderId="1" xfId="0" applyFont="1" applyBorder="1" applyAlignment="1">
      <alignment vertical="center" wrapText="1"/>
    </xf>
    <xf numFmtId="0" fontId="14" fillId="6" borderId="1" xfId="0" applyFont="1" applyFill="1" applyBorder="1"/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6D5"/>
      <rgbColor rgb="00DEEAF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CE4D6"/>
      <rgbColor rgb="0099CCFF"/>
      <rgbColor rgb="00FF99CC"/>
      <rgbColor rgb="00CC99FF"/>
      <rgbColor rgb="00FCE4B0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A16" sqref="A16"/>
    </sheetView>
  </sheetViews>
  <sheetFormatPr defaultColWidth="8.62962962962963" defaultRowHeight="14.4"/>
  <cols>
    <col min="1" max="1" width="110" customWidth="1"/>
  </cols>
  <sheetData>
    <row r="1" ht="19.5" customHeight="1" spans="1:1">
      <c r="A1" s="45" t="s">
        <v>0</v>
      </c>
    </row>
    <row r="2" ht="15" customHeight="1" spans="1:1">
      <c r="A2" s="46"/>
    </row>
    <row r="3" ht="30.75" customHeight="1" spans="1:1">
      <c r="A3" s="47" t="s">
        <v>1</v>
      </c>
    </row>
    <row r="4" ht="15" customHeight="1" spans="1:1">
      <c r="A4" s="46"/>
    </row>
    <row r="5" ht="15.75" customHeight="1" spans="1:1">
      <c r="A5" s="47" t="s">
        <v>2</v>
      </c>
    </row>
    <row r="6" ht="30.75" customHeight="1" spans="1:1">
      <c r="A6" s="47" t="s">
        <v>3</v>
      </c>
    </row>
    <row r="7" ht="30.75" customHeight="1" spans="1:1">
      <c r="A7" s="47" t="s">
        <v>4</v>
      </c>
    </row>
    <row r="8" ht="15.75" customHeight="1" spans="1:1">
      <c r="A8" s="47" t="s">
        <v>5</v>
      </c>
    </row>
    <row r="9" ht="30.75" customHeight="1" spans="1:1">
      <c r="A9" s="46" t="s">
        <v>6</v>
      </c>
    </row>
    <row r="10" ht="15.75" customHeight="1" spans="1:1">
      <c r="A10" s="46" t="s">
        <v>7</v>
      </c>
    </row>
    <row r="11" ht="15.75" customHeight="1" spans="1:1">
      <c r="A11" s="46" t="s">
        <v>8</v>
      </c>
    </row>
    <row r="12" ht="30.75" customHeight="1" spans="1:1">
      <c r="A12" s="46" t="s">
        <v>9</v>
      </c>
    </row>
    <row r="13" ht="30.75" customHeight="1" spans="1:1">
      <c r="A13" s="47" t="s">
        <v>10</v>
      </c>
    </row>
    <row r="14" ht="30.75" customHeight="1" spans="1:1">
      <c r="A14" s="47" t="s">
        <v>11</v>
      </c>
    </row>
    <row r="15" ht="30.75" customHeight="1" spans="1:1">
      <c r="A15" s="47" t="s">
        <v>12</v>
      </c>
    </row>
    <row r="16" ht="43.2" spans="1:1">
      <c r="A16" s="48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"/>
  <sheetViews>
    <sheetView workbookViewId="0">
      <pane xSplit="3" ySplit="1" topLeftCell="F2" activePane="bottomRight" state="frozen"/>
      <selection/>
      <selection pane="topRight"/>
      <selection pane="bottomLeft"/>
      <selection pane="bottomRight" activeCell="P56" sqref="P56"/>
    </sheetView>
  </sheetViews>
  <sheetFormatPr defaultColWidth="8.62962962962963" defaultRowHeight="14.4"/>
  <cols>
    <col min="1" max="1" width="8" customWidth="1"/>
    <col min="2" max="2" width="16" customWidth="1"/>
    <col min="3" max="3" width="34" customWidth="1"/>
    <col min="4" max="4" width="15" customWidth="1"/>
    <col min="5" max="5" width="11" customWidth="1"/>
    <col min="6" max="6" width="15" customWidth="1"/>
    <col min="7" max="7" width="11" customWidth="1"/>
    <col min="8" max="8" width="13" customWidth="1"/>
    <col min="9" max="9" width="11" customWidth="1"/>
    <col min="10" max="10" width="13" customWidth="1"/>
    <col min="11" max="12" width="11" customWidth="1"/>
    <col min="13" max="13" width="9" customWidth="1"/>
    <col min="14" max="14" width="15" customWidth="1"/>
    <col min="15" max="15" width="14" customWidth="1"/>
    <col min="16" max="16" width="12" customWidth="1"/>
    <col min="17" max="17" width="14" customWidth="1"/>
    <col min="18" max="18" width="24" customWidth="1"/>
  </cols>
  <sheetData>
    <row r="1" ht="29.25" customHeight="1" spans="1:18">
      <c r="A1" s="27" t="s">
        <v>14</v>
      </c>
      <c r="B1" s="27" t="s">
        <v>15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18</v>
      </c>
      <c r="H1" s="27" t="s">
        <v>20</v>
      </c>
      <c r="I1" s="27" t="s">
        <v>18</v>
      </c>
      <c r="J1" s="27" t="s">
        <v>21</v>
      </c>
      <c r="K1" s="27" t="s">
        <v>18</v>
      </c>
      <c r="L1" s="27" t="s">
        <v>22</v>
      </c>
      <c r="M1" s="27" t="s">
        <v>18</v>
      </c>
      <c r="N1" s="27" t="s">
        <v>23</v>
      </c>
      <c r="O1" s="27" t="s">
        <v>24</v>
      </c>
      <c r="P1" s="28" t="s">
        <v>25</v>
      </c>
      <c r="Q1" s="28" t="s">
        <v>26</v>
      </c>
      <c r="R1" s="28" t="s">
        <v>27</v>
      </c>
    </row>
    <row r="2" ht="15.75" customHeight="1" spans="1:18">
      <c r="A2" s="29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10"/>
      <c r="R2" s="10"/>
    </row>
    <row r="3" ht="32.25" customHeight="1" spans="1:18">
      <c r="A3" s="30" t="s">
        <v>29</v>
      </c>
      <c r="B3" s="31" t="s">
        <v>30</v>
      </c>
      <c r="C3" s="31" t="s">
        <v>31</v>
      </c>
      <c r="D3" s="31" t="s">
        <v>32</v>
      </c>
      <c r="E3" s="32">
        <v>40</v>
      </c>
      <c r="F3" s="31" t="s">
        <v>33</v>
      </c>
      <c r="G3" s="32">
        <v>1500</v>
      </c>
      <c r="H3" s="30"/>
      <c r="I3" s="24"/>
      <c r="J3" s="30"/>
      <c r="K3" s="24"/>
      <c r="L3" s="30"/>
      <c r="M3" s="24"/>
      <c r="N3" s="33"/>
      <c r="O3" s="34">
        <f>IF(N3&gt;0,N3,E3*G3)</f>
        <v>60000</v>
      </c>
      <c r="P3" s="35" t="s">
        <v>34</v>
      </c>
      <c r="Q3" s="34">
        <f t="shared" ref="Q3:Q13" si="0">IF(P3="ON",O3,0)</f>
        <v>60000</v>
      </c>
      <c r="R3" s="36" t="s">
        <v>35</v>
      </c>
    </row>
    <row r="4" ht="32.25" customHeight="1" spans="1:18">
      <c r="A4" s="30" t="s">
        <v>36</v>
      </c>
      <c r="B4" s="31" t="s">
        <v>37</v>
      </c>
      <c r="C4" s="31" t="s">
        <v>38</v>
      </c>
      <c r="D4" s="31" t="s">
        <v>39</v>
      </c>
      <c r="E4" s="32">
        <v>60</v>
      </c>
      <c r="F4" s="31" t="s">
        <v>33</v>
      </c>
      <c r="G4" s="32">
        <v>1200</v>
      </c>
      <c r="H4" s="30"/>
      <c r="I4" s="24"/>
      <c r="J4" s="30"/>
      <c r="K4" s="24"/>
      <c r="L4" s="30"/>
      <c r="M4" s="24"/>
      <c r="N4" s="33"/>
      <c r="O4" s="34">
        <f>IF(N4&gt;0,N4,E4*G4)</f>
        <v>72000</v>
      </c>
      <c r="P4" s="35" t="s">
        <v>34</v>
      </c>
      <c r="Q4" s="34">
        <f t="shared" si="0"/>
        <v>72000</v>
      </c>
      <c r="R4" s="37" t="s">
        <v>40</v>
      </c>
    </row>
    <row r="5" ht="32.25" customHeight="1" spans="1:18">
      <c r="A5" s="30" t="s">
        <v>41</v>
      </c>
      <c r="B5" s="31" t="s">
        <v>42</v>
      </c>
      <c r="C5" s="31" t="s">
        <v>43</v>
      </c>
      <c r="D5" s="31" t="s">
        <v>44</v>
      </c>
      <c r="E5" s="32">
        <v>10</v>
      </c>
      <c r="F5" s="31" t="s">
        <v>45</v>
      </c>
      <c r="G5" s="32">
        <v>1250</v>
      </c>
      <c r="H5" s="30"/>
      <c r="I5" s="24"/>
      <c r="J5" s="30"/>
      <c r="K5" s="24"/>
      <c r="L5" s="30"/>
      <c r="M5" s="24"/>
      <c r="N5" s="33"/>
      <c r="O5" s="34">
        <f>IF(N5&gt;0,N5,E5*G5)</f>
        <v>12500</v>
      </c>
      <c r="P5" s="35" t="s">
        <v>34</v>
      </c>
      <c r="Q5" s="34">
        <f t="shared" si="0"/>
        <v>12500</v>
      </c>
      <c r="R5" s="36" t="s">
        <v>46</v>
      </c>
    </row>
    <row r="6" ht="16.5" customHeight="1" spans="1:18">
      <c r="A6" s="30" t="s">
        <v>47</v>
      </c>
      <c r="B6" s="31" t="s">
        <v>48</v>
      </c>
      <c r="C6" s="31" t="s">
        <v>49</v>
      </c>
      <c r="D6" s="30"/>
      <c r="E6" s="24"/>
      <c r="F6" s="30"/>
      <c r="G6" s="24"/>
      <c r="H6" s="30"/>
      <c r="I6" s="24"/>
      <c r="J6" s="30"/>
      <c r="K6" s="24"/>
      <c r="L6" s="30"/>
      <c r="M6" s="24"/>
      <c r="N6" s="33"/>
      <c r="O6" s="34">
        <f>IF(N6&gt;0,N6,0)</f>
        <v>0</v>
      </c>
      <c r="P6" s="35" t="s">
        <v>34</v>
      </c>
      <c r="Q6" s="34">
        <f t="shared" si="0"/>
        <v>0</v>
      </c>
      <c r="R6" s="36" t="s">
        <v>50</v>
      </c>
    </row>
    <row r="7" ht="16.5" customHeight="1" spans="1:18">
      <c r="A7" s="30" t="s">
        <v>51</v>
      </c>
      <c r="B7" s="31" t="s">
        <v>52</v>
      </c>
      <c r="C7" s="31" t="s">
        <v>53</v>
      </c>
      <c r="D7" s="31" t="s">
        <v>54</v>
      </c>
      <c r="E7" s="32"/>
      <c r="F7" s="31" t="s">
        <v>55</v>
      </c>
      <c r="G7" s="32"/>
      <c r="H7" s="30"/>
      <c r="I7" s="24"/>
      <c r="J7" s="30"/>
      <c r="K7" s="24"/>
      <c r="L7" s="30"/>
      <c r="M7" s="24"/>
      <c r="N7" s="33"/>
      <c r="O7" s="34">
        <f>IF(N7&gt;0,N7,E7*G7)</f>
        <v>0</v>
      </c>
      <c r="P7" s="35" t="s">
        <v>34</v>
      </c>
      <c r="Q7" s="34">
        <f t="shared" si="0"/>
        <v>0</v>
      </c>
      <c r="R7" s="36" t="s">
        <v>56</v>
      </c>
    </row>
    <row r="8" ht="16.5" customHeight="1" spans="1:18">
      <c r="A8" s="30" t="s">
        <v>57</v>
      </c>
      <c r="B8" s="31" t="s">
        <v>58</v>
      </c>
      <c r="C8" s="31" t="s">
        <v>59</v>
      </c>
      <c r="D8" s="30"/>
      <c r="E8" s="24"/>
      <c r="F8" s="30"/>
      <c r="G8" s="24"/>
      <c r="H8" s="30"/>
      <c r="I8" s="24"/>
      <c r="J8" s="30"/>
      <c r="K8" s="24"/>
      <c r="L8" s="30"/>
      <c r="M8" s="24"/>
      <c r="N8" s="33"/>
      <c r="O8" s="34">
        <f t="shared" ref="O8:O13" si="1">IF(N8&gt;0,N8,0)</f>
        <v>0</v>
      </c>
      <c r="P8" s="35" t="s">
        <v>34</v>
      </c>
      <c r="Q8" s="34">
        <f t="shared" si="0"/>
        <v>0</v>
      </c>
      <c r="R8" s="36" t="s">
        <v>60</v>
      </c>
    </row>
    <row r="9" ht="16.5" customHeight="1" spans="1:18">
      <c r="A9" s="30" t="s">
        <v>61</v>
      </c>
      <c r="B9" s="31" t="s">
        <v>62</v>
      </c>
      <c r="C9" s="31" t="s">
        <v>63</v>
      </c>
      <c r="D9" s="30"/>
      <c r="E9" s="24"/>
      <c r="F9" s="30"/>
      <c r="G9" s="24"/>
      <c r="H9" s="30"/>
      <c r="I9" s="24"/>
      <c r="J9" s="30"/>
      <c r="K9" s="24"/>
      <c r="L9" s="30"/>
      <c r="M9" s="24"/>
      <c r="N9" s="33"/>
      <c r="O9" s="34">
        <f t="shared" si="1"/>
        <v>0</v>
      </c>
      <c r="P9" s="35" t="s">
        <v>34</v>
      </c>
      <c r="Q9" s="34">
        <f t="shared" si="0"/>
        <v>0</v>
      </c>
      <c r="R9" s="36" t="s">
        <v>64</v>
      </c>
    </row>
    <row r="10" ht="16.5" customHeight="1" spans="1:18">
      <c r="A10" s="30" t="s">
        <v>65</v>
      </c>
      <c r="B10" s="31" t="s">
        <v>66</v>
      </c>
      <c r="C10" s="31" t="s">
        <v>67</v>
      </c>
      <c r="D10" s="30"/>
      <c r="E10" s="24"/>
      <c r="F10" s="30"/>
      <c r="G10" s="24"/>
      <c r="H10" s="30"/>
      <c r="I10" s="24"/>
      <c r="J10" s="30"/>
      <c r="K10" s="24"/>
      <c r="L10" s="30"/>
      <c r="M10" s="24"/>
      <c r="N10" s="33"/>
      <c r="O10" s="34">
        <f t="shared" si="1"/>
        <v>0</v>
      </c>
      <c r="P10" s="38" t="s">
        <v>34</v>
      </c>
      <c r="Q10" s="34">
        <f t="shared" si="0"/>
        <v>0</v>
      </c>
      <c r="R10" s="36" t="s">
        <v>68</v>
      </c>
    </row>
    <row r="11" ht="16.5" customHeight="1" spans="1:18">
      <c r="A11" s="30" t="s">
        <v>69</v>
      </c>
      <c r="B11" s="31" t="s">
        <v>70</v>
      </c>
      <c r="C11" s="31" t="s">
        <v>71</v>
      </c>
      <c r="D11" s="30"/>
      <c r="E11" s="24"/>
      <c r="F11" s="30"/>
      <c r="G11" s="24"/>
      <c r="H11" s="30"/>
      <c r="I11" s="24"/>
      <c r="J11" s="30"/>
      <c r="K11" s="24"/>
      <c r="L11" s="30"/>
      <c r="M11" s="24"/>
      <c r="N11" s="33"/>
      <c r="O11" s="34">
        <f t="shared" si="1"/>
        <v>0</v>
      </c>
      <c r="P11" s="35" t="s">
        <v>34</v>
      </c>
      <c r="Q11" s="34">
        <f t="shared" si="0"/>
        <v>0</v>
      </c>
      <c r="R11" s="36" t="s">
        <v>72</v>
      </c>
    </row>
    <row r="12" ht="16.5" customHeight="1" spans="1:18">
      <c r="A12" s="30" t="s">
        <v>73</v>
      </c>
      <c r="B12" s="31" t="s">
        <v>74</v>
      </c>
      <c r="C12" s="31" t="s">
        <v>75</v>
      </c>
      <c r="D12" s="30"/>
      <c r="E12" s="24"/>
      <c r="F12" s="30"/>
      <c r="G12" s="24"/>
      <c r="H12" s="30"/>
      <c r="I12" s="24"/>
      <c r="J12" s="30"/>
      <c r="K12" s="24"/>
      <c r="L12" s="30"/>
      <c r="M12" s="24"/>
      <c r="N12" s="33"/>
      <c r="O12" s="34">
        <f t="shared" si="1"/>
        <v>0</v>
      </c>
      <c r="P12" s="35" t="s">
        <v>34</v>
      </c>
      <c r="Q12" s="34">
        <f t="shared" si="0"/>
        <v>0</v>
      </c>
      <c r="R12" s="36" t="s">
        <v>76</v>
      </c>
    </row>
    <row r="13" ht="16.5" customHeight="1" spans="1:18">
      <c r="A13" s="30" t="s">
        <v>77</v>
      </c>
      <c r="B13" s="31" t="s">
        <v>78</v>
      </c>
      <c r="C13" s="31" t="s">
        <v>79</v>
      </c>
      <c r="D13" s="30"/>
      <c r="E13" s="24"/>
      <c r="F13" s="30"/>
      <c r="G13" s="24"/>
      <c r="H13" s="30"/>
      <c r="I13" s="24"/>
      <c r="J13" s="30"/>
      <c r="K13" s="24"/>
      <c r="L13" s="30"/>
      <c r="M13" s="24"/>
      <c r="N13" s="33"/>
      <c r="O13" s="34">
        <f t="shared" si="1"/>
        <v>0</v>
      </c>
      <c r="P13" s="35" t="s">
        <v>34</v>
      </c>
      <c r="Q13" s="34">
        <f t="shared" si="0"/>
        <v>0</v>
      </c>
      <c r="R13" s="36" t="s">
        <v>80</v>
      </c>
    </row>
    <row r="14" ht="15.75" customHeight="1" spans="1:18">
      <c r="A14" s="29" t="s">
        <v>81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10"/>
      <c r="R14" s="10"/>
    </row>
    <row r="15" ht="16.5" customHeight="1" spans="1:18">
      <c r="A15" s="30" t="s">
        <v>82</v>
      </c>
      <c r="B15" s="31" t="s">
        <v>83</v>
      </c>
      <c r="C15" s="31" t="s">
        <v>84</v>
      </c>
      <c r="D15" s="31" t="s">
        <v>85</v>
      </c>
      <c r="E15" s="32">
        <v>200</v>
      </c>
      <c r="F15" s="31" t="s">
        <v>33</v>
      </c>
      <c r="G15" s="32">
        <v>800</v>
      </c>
      <c r="H15" s="30"/>
      <c r="I15" s="24"/>
      <c r="J15" s="30"/>
      <c r="K15" s="24"/>
      <c r="L15" s="30"/>
      <c r="M15" s="24"/>
      <c r="N15" s="33"/>
      <c r="O15" s="34">
        <f t="shared" ref="O15:O21" si="2">IF(N15&gt;0,N15,E15*G15)</f>
        <v>160000</v>
      </c>
      <c r="P15" s="35" t="s">
        <v>34</v>
      </c>
      <c r="Q15" s="34">
        <f t="shared" ref="Q15:Q25" si="3">IF(P15="ON",O15,0)</f>
        <v>160000</v>
      </c>
      <c r="R15" s="36" t="s">
        <v>86</v>
      </c>
    </row>
    <row r="16" ht="16.5" customHeight="1" spans="1:18">
      <c r="A16" s="30" t="s">
        <v>87</v>
      </c>
      <c r="B16" s="31" t="s">
        <v>88</v>
      </c>
      <c r="C16" s="31" t="s">
        <v>89</v>
      </c>
      <c r="D16" s="31" t="s">
        <v>85</v>
      </c>
      <c r="E16" s="32">
        <v>40</v>
      </c>
      <c r="F16" s="31" t="s">
        <v>33</v>
      </c>
      <c r="G16" s="32">
        <v>800</v>
      </c>
      <c r="H16" s="30"/>
      <c r="I16" s="24"/>
      <c r="J16" s="30"/>
      <c r="K16" s="24"/>
      <c r="L16" s="30"/>
      <c r="M16" s="24"/>
      <c r="N16" s="33"/>
      <c r="O16" s="34">
        <f t="shared" si="2"/>
        <v>32000</v>
      </c>
      <c r="P16" s="35" t="s">
        <v>34</v>
      </c>
      <c r="Q16" s="34">
        <f t="shared" si="3"/>
        <v>32000</v>
      </c>
      <c r="R16" s="36" t="s">
        <v>90</v>
      </c>
    </row>
    <row r="17" ht="16.5" customHeight="1" spans="1:18">
      <c r="A17" s="30" t="s">
        <v>91</v>
      </c>
      <c r="B17" s="31" t="s">
        <v>92</v>
      </c>
      <c r="C17" s="31" t="s">
        <v>93</v>
      </c>
      <c r="D17" s="31" t="s">
        <v>94</v>
      </c>
      <c r="E17" s="32">
        <v>500</v>
      </c>
      <c r="F17" s="31" t="s">
        <v>95</v>
      </c>
      <c r="G17" s="32">
        <v>100</v>
      </c>
      <c r="H17" s="30"/>
      <c r="I17" s="24"/>
      <c r="J17" s="30"/>
      <c r="K17" s="24"/>
      <c r="L17" s="30"/>
      <c r="M17" s="24"/>
      <c r="N17" s="33"/>
      <c r="O17" s="34">
        <f t="shared" si="2"/>
        <v>50000</v>
      </c>
      <c r="P17" s="35" t="s">
        <v>34</v>
      </c>
      <c r="Q17" s="34">
        <f t="shared" si="3"/>
        <v>50000</v>
      </c>
      <c r="R17" s="36" t="s">
        <v>96</v>
      </c>
    </row>
    <row r="18" ht="16.5" customHeight="1" spans="1:18">
      <c r="A18" s="30" t="s">
        <v>97</v>
      </c>
      <c r="B18" s="31" t="s">
        <v>98</v>
      </c>
      <c r="C18" s="31" t="s">
        <v>99</v>
      </c>
      <c r="D18" s="31" t="s">
        <v>85</v>
      </c>
      <c r="E18" s="32">
        <v>60</v>
      </c>
      <c r="F18" s="31" t="s">
        <v>33</v>
      </c>
      <c r="G18" s="32">
        <v>800</v>
      </c>
      <c r="H18" s="30"/>
      <c r="I18" s="24"/>
      <c r="J18" s="30"/>
      <c r="K18" s="24"/>
      <c r="L18" s="30"/>
      <c r="M18" s="24"/>
      <c r="N18" s="33"/>
      <c r="O18" s="34">
        <f t="shared" si="2"/>
        <v>48000</v>
      </c>
      <c r="P18" s="35" t="s">
        <v>34</v>
      </c>
      <c r="Q18" s="34">
        <f t="shared" si="3"/>
        <v>48000</v>
      </c>
      <c r="R18" s="36" t="s">
        <v>100</v>
      </c>
    </row>
    <row r="19" ht="16.5" customHeight="1" spans="1:18">
      <c r="A19" s="30" t="s">
        <v>101</v>
      </c>
      <c r="B19" s="31" t="s">
        <v>102</v>
      </c>
      <c r="C19" s="31" t="s">
        <v>103</v>
      </c>
      <c r="D19" s="31" t="s">
        <v>104</v>
      </c>
      <c r="E19" s="32"/>
      <c r="F19" s="31" t="s">
        <v>95</v>
      </c>
      <c r="G19" s="32"/>
      <c r="H19" s="30"/>
      <c r="I19" s="24"/>
      <c r="J19" s="30"/>
      <c r="K19" s="24"/>
      <c r="L19" s="30"/>
      <c r="M19" s="24"/>
      <c r="N19" s="33"/>
      <c r="O19" s="34">
        <f t="shared" si="2"/>
        <v>0</v>
      </c>
      <c r="P19" s="35" t="s">
        <v>34</v>
      </c>
      <c r="Q19" s="34">
        <f t="shared" si="3"/>
        <v>0</v>
      </c>
      <c r="R19" s="36"/>
    </row>
    <row r="20" ht="16.5" customHeight="1" spans="1:18">
      <c r="A20" s="30" t="s">
        <v>105</v>
      </c>
      <c r="B20" s="31" t="s">
        <v>106</v>
      </c>
      <c r="C20" s="31" t="s">
        <v>89</v>
      </c>
      <c r="D20" s="31" t="s">
        <v>85</v>
      </c>
      <c r="E20" s="32"/>
      <c r="F20" s="31" t="s">
        <v>33</v>
      </c>
      <c r="G20" s="32"/>
      <c r="H20" s="30"/>
      <c r="I20" s="24"/>
      <c r="J20" s="30"/>
      <c r="K20" s="24"/>
      <c r="L20" s="30"/>
      <c r="M20" s="24"/>
      <c r="N20" s="33"/>
      <c r="O20" s="34">
        <f t="shared" si="2"/>
        <v>0</v>
      </c>
      <c r="P20" s="35" t="s">
        <v>34</v>
      </c>
      <c r="Q20" s="34">
        <f t="shared" si="3"/>
        <v>0</v>
      </c>
      <c r="R20" s="37" t="s">
        <v>107</v>
      </c>
    </row>
    <row r="21" ht="32.25" customHeight="1" spans="1:18">
      <c r="A21" s="30" t="s">
        <v>108</v>
      </c>
      <c r="B21" s="31" t="s">
        <v>109</v>
      </c>
      <c r="C21" s="31" t="s">
        <v>110</v>
      </c>
      <c r="D21" s="31" t="s">
        <v>111</v>
      </c>
      <c r="E21" s="32"/>
      <c r="F21" s="31" t="s">
        <v>112</v>
      </c>
      <c r="G21" s="32"/>
      <c r="H21" s="30"/>
      <c r="I21" s="24"/>
      <c r="J21" s="30"/>
      <c r="K21" s="24"/>
      <c r="L21" s="30"/>
      <c r="M21" s="24"/>
      <c r="N21" s="33"/>
      <c r="O21" s="34">
        <f t="shared" si="2"/>
        <v>0</v>
      </c>
      <c r="P21" s="35" t="s">
        <v>34</v>
      </c>
      <c r="Q21" s="34">
        <f t="shared" si="3"/>
        <v>0</v>
      </c>
      <c r="R21" s="36" t="s">
        <v>113</v>
      </c>
    </row>
    <row r="22" ht="16.5" customHeight="1" spans="1:18">
      <c r="A22" s="30" t="s">
        <v>114</v>
      </c>
      <c r="B22" s="31" t="s">
        <v>115</v>
      </c>
      <c r="C22" s="31" t="s">
        <v>116</v>
      </c>
      <c r="D22" s="30"/>
      <c r="E22" s="24"/>
      <c r="F22" s="30"/>
      <c r="G22" s="24"/>
      <c r="H22" s="30"/>
      <c r="I22" s="24"/>
      <c r="J22" s="30"/>
      <c r="K22" s="24"/>
      <c r="L22" s="30"/>
      <c r="M22" s="24"/>
      <c r="N22" s="33"/>
      <c r="O22" s="34">
        <f>IF(N22&gt;0,N22,0)</f>
        <v>0</v>
      </c>
      <c r="P22" s="35" t="s">
        <v>34</v>
      </c>
      <c r="Q22" s="34">
        <f t="shared" si="3"/>
        <v>0</v>
      </c>
      <c r="R22" s="36" t="s">
        <v>117</v>
      </c>
    </row>
    <row r="23" ht="32.25" customHeight="1" spans="1:18">
      <c r="A23" s="30" t="s">
        <v>118</v>
      </c>
      <c r="B23" s="31" t="s">
        <v>119</v>
      </c>
      <c r="C23" s="31" t="s">
        <v>120</v>
      </c>
      <c r="D23" s="31" t="s">
        <v>85</v>
      </c>
      <c r="E23" s="32"/>
      <c r="F23" s="31" t="s">
        <v>33</v>
      </c>
      <c r="G23" s="32"/>
      <c r="H23" s="30"/>
      <c r="I23" s="24"/>
      <c r="J23" s="30"/>
      <c r="K23" s="24"/>
      <c r="L23" s="30"/>
      <c r="M23" s="24"/>
      <c r="N23" s="33"/>
      <c r="O23" s="34">
        <f>IF(N23&gt;0,N23,E23*G23)</f>
        <v>0</v>
      </c>
      <c r="P23" s="35" t="s">
        <v>34</v>
      </c>
      <c r="Q23" s="34">
        <f t="shared" si="3"/>
        <v>0</v>
      </c>
      <c r="R23" s="36"/>
    </row>
    <row r="24" ht="16.5" customHeight="1" spans="1:18">
      <c r="A24" s="30" t="s">
        <v>121</v>
      </c>
      <c r="B24" s="31" t="s">
        <v>122</v>
      </c>
      <c r="C24" s="31" t="s">
        <v>123</v>
      </c>
      <c r="D24" s="31" t="s">
        <v>85</v>
      </c>
      <c r="E24" s="32"/>
      <c r="F24" s="31" t="s">
        <v>33</v>
      </c>
      <c r="G24" s="32"/>
      <c r="H24" s="30"/>
      <c r="I24" s="24"/>
      <c r="J24" s="30"/>
      <c r="K24" s="24"/>
      <c r="L24" s="30"/>
      <c r="M24" s="24"/>
      <c r="N24" s="33"/>
      <c r="O24" s="34">
        <f>IF(N24&gt;0,N24,E24*G24)</f>
        <v>0</v>
      </c>
      <c r="P24" s="35" t="s">
        <v>34</v>
      </c>
      <c r="Q24" s="34">
        <f t="shared" si="3"/>
        <v>0</v>
      </c>
      <c r="R24" s="36"/>
    </row>
    <row r="25" ht="16.5" customHeight="1" spans="1:18">
      <c r="A25" s="30" t="s">
        <v>124</v>
      </c>
      <c r="B25" s="31" t="s">
        <v>125</v>
      </c>
      <c r="C25" s="31" t="s">
        <v>126</v>
      </c>
      <c r="D25" s="30"/>
      <c r="E25" s="24"/>
      <c r="F25" s="30"/>
      <c r="G25" s="24"/>
      <c r="H25" s="30"/>
      <c r="I25" s="24"/>
      <c r="J25" s="30"/>
      <c r="K25" s="24"/>
      <c r="L25" s="30"/>
      <c r="M25" s="24"/>
      <c r="N25" s="33"/>
      <c r="O25" s="34">
        <f>IF(N25&gt;0,N25,0)</f>
        <v>0</v>
      </c>
      <c r="P25" s="38" t="s">
        <v>34</v>
      </c>
      <c r="Q25" s="34">
        <f t="shared" si="3"/>
        <v>0</v>
      </c>
      <c r="R25" s="36" t="s">
        <v>127</v>
      </c>
    </row>
    <row r="26" ht="15.75" customHeight="1" spans="1:18">
      <c r="A26" s="29" t="s">
        <v>128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0"/>
      <c r="R26" s="10"/>
    </row>
    <row r="27" ht="32.25" customHeight="1" spans="1:18">
      <c r="A27" s="30" t="s">
        <v>129</v>
      </c>
      <c r="B27" s="31" t="s">
        <v>130</v>
      </c>
      <c r="C27" s="30" t="s">
        <v>131</v>
      </c>
      <c r="D27" s="31" t="s">
        <v>132</v>
      </c>
      <c r="E27" s="32">
        <v>5</v>
      </c>
      <c r="F27" s="31" t="s">
        <v>133</v>
      </c>
      <c r="G27" s="32">
        <v>10</v>
      </c>
      <c r="H27" s="31" t="s">
        <v>134</v>
      </c>
      <c r="I27" s="32">
        <v>20</v>
      </c>
      <c r="J27" s="31" t="s">
        <v>33</v>
      </c>
      <c r="K27" s="32">
        <v>800</v>
      </c>
      <c r="L27" s="31" t="s">
        <v>135</v>
      </c>
      <c r="M27" s="32">
        <v>1.5</v>
      </c>
      <c r="N27" s="33"/>
      <c r="O27" s="34">
        <f>IF(N27&gt;0,N27,(E27*4+G27*2+I27*1)*K27*M27)</f>
        <v>72000</v>
      </c>
      <c r="P27" s="35" t="s">
        <v>34</v>
      </c>
      <c r="Q27" s="34">
        <f>IF(P27="ON",O27,0)</f>
        <v>72000</v>
      </c>
      <c r="R27" s="36" t="s">
        <v>136</v>
      </c>
    </row>
    <row r="28" ht="32.25" customHeight="1" spans="1:18">
      <c r="A28" s="30" t="s">
        <v>137</v>
      </c>
      <c r="B28" s="31" t="s">
        <v>138</v>
      </c>
      <c r="C28" s="31" t="s">
        <v>139</v>
      </c>
      <c r="D28" s="30"/>
      <c r="E28" s="24"/>
      <c r="F28" s="30"/>
      <c r="G28" s="24"/>
      <c r="H28" s="30"/>
      <c r="I28" s="24"/>
      <c r="J28" s="30"/>
      <c r="K28" s="24"/>
      <c r="L28" s="30"/>
      <c r="M28" s="24"/>
      <c r="N28" s="33"/>
      <c r="O28" s="34">
        <f>IF(N28&gt;0,N28,0)</f>
        <v>0</v>
      </c>
      <c r="P28" s="38" t="s">
        <v>34</v>
      </c>
      <c r="Q28" s="34">
        <f>IF(P28="ON",O28,0)</f>
        <v>0</v>
      </c>
      <c r="R28" s="36" t="s">
        <v>140</v>
      </c>
    </row>
    <row r="29" ht="16.5" customHeight="1" spans="1:18">
      <c r="A29" s="30" t="s">
        <v>141</v>
      </c>
      <c r="B29" s="31" t="s">
        <v>142</v>
      </c>
      <c r="C29" s="31" t="s">
        <v>143</v>
      </c>
      <c r="D29" s="30"/>
      <c r="E29" s="24"/>
      <c r="F29" s="30"/>
      <c r="G29" s="24"/>
      <c r="H29" s="30"/>
      <c r="I29" s="24"/>
      <c r="J29" s="30"/>
      <c r="K29" s="24"/>
      <c r="L29" s="30"/>
      <c r="M29" s="24"/>
      <c r="N29" s="33"/>
      <c r="O29" s="34">
        <f>IF(N29&gt;0,N29,0)</f>
        <v>0</v>
      </c>
      <c r="P29" s="35" t="s">
        <v>34</v>
      </c>
      <c r="Q29" s="34">
        <f>IF(P29="ON",O29,0)</f>
        <v>0</v>
      </c>
      <c r="R29" s="36" t="s">
        <v>144</v>
      </c>
    </row>
    <row r="30" ht="32.25" customHeight="1" spans="1:18">
      <c r="A30" s="30" t="s">
        <v>145</v>
      </c>
      <c r="B30" s="31" t="s">
        <v>146</v>
      </c>
      <c r="C30" s="31" t="s">
        <v>147</v>
      </c>
      <c r="D30" s="31" t="s">
        <v>148</v>
      </c>
      <c r="E30" s="32"/>
      <c r="F30" s="31" t="s">
        <v>149</v>
      </c>
      <c r="G30" s="32"/>
      <c r="H30" s="30"/>
      <c r="I30" s="24"/>
      <c r="J30" s="30"/>
      <c r="K30" s="24"/>
      <c r="L30" s="30"/>
      <c r="M30" s="24"/>
      <c r="N30" s="33"/>
      <c r="O30" s="34">
        <f>IF(N30&gt;0,N30,E30*G30)</f>
        <v>0</v>
      </c>
      <c r="P30" s="38" t="s">
        <v>34</v>
      </c>
      <c r="Q30" s="34">
        <f>IF(P30="ON",O30,0)</f>
        <v>0</v>
      </c>
      <c r="R30" s="36" t="s">
        <v>150</v>
      </c>
    </row>
    <row r="31" ht="16.5" customHeight="1" spans="1:18">
      <c r="A31" s="30" t="s">
        <v>151</v>
      </c>
      <c r="B31" s="31" t="s">
        <v>152</v>
      </c>
      <c r="C31" s="31" t="s">
        <v>153</v>
      </c>
      <c r="D31" s="30"/>
      <c r="E31" s="24"/>
      <c r="F31" s="30"/>
      <c r="G31" s="24"/>
      <c r="H31" s="30"/>
      <c r="I31" s="24"/>
      <c r="J31" s="30"/>
      <c r="K31" s="24"/>
      <c r="L31" s="30"/>
      <c r="M31" s="24"/>
      <c r="N31" s="33"/>
      <c r="O31" s="34">
        <f>IF(N31&gt;0,N31,0)</f>
        <v>0</v>
      </c>
      <c r="P31" s="38" t="s">
        <v>34</v>
      </c>
      <c r="Q31" s="34">
        <f>IF(P31="ON",O31,0)</f>
        <v>0</v>
      </c>
      <c r="R31" s="36" t="s">
        <v>154</v>
      </c>
    </row>
    <row r="32" ht="15.75" customHeight="1" spans="1:18">
      <c r="A32" s="29" t="s">
        <v>155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0"/>
      <c r="R32" s="10"/>
    </row>
    <row r="33" ht="30" customHeight="1" spans="1:18">
      <c r="A33" s="30" t="s">
        <v>156</v>
      </c>
      <c r="B33" s="31" t="s">
        <v>157</v>
      </c>
      <c r="C33" s="31" t="s">
        <v>158</v>
      </c>
      <c r="D33" s="31" t="s">
        <v>85</v>
      </c>
      <c r="E33" s="32"/>
      <c r="F33" s="31" t="s">
        <v>159</v>
      </c>
      <c r="G33" s="32"/>
      <c r="H33" s="30"/>
      <c r="I33" s="24"/>
      <c r="J33" s="30"/>
      <c r="K33" s="24"/>
      <c r="L33" s="30"/>
      <c r="M33" s="24"/>
      <c r="N33" s="33"/>
      <c r="O33" s="34">
        <f>IF(N33&gt;0,N33,E33*G33)</f>
        <v>0</v>
      </c>
      <c r="P33" s="35" t="s">
        <v>34</v>
      </c>
      <c r="Q33" s="34">
        <f>IF(P33="ON",O33,0)</f>
        <v>0</v>
      </c>
      <c r="R33" s="36" t="s">
        <v>160</v>
      </c>
    </row>
    <row r="34" ht="16.5" customHeight="1" spans="1:18">
      <c r="A34" s="30" t="s">
        <v>161</v>
      </c>
      <c r="B34" s="31" t="s">
        <v>162</v>
      </c>
      <c r="C34" s="31" t="s">
        <v>163</v>
      </c>
      <c r="D34" s="30"/>
      <c r="E34" s="24"/>
      <c r="F34" s="30"/>
      <c r="G34" s="24"/>
      <c r="H34" s="30"/>
      <c r="I34" s="24"/>
      <c r="J34" s="30"/>
      <c r="K34" s="24"/>
      <c r="L34" s="30"/>
      <c r="M34" s="24"/>
      <c r="N34" s="33"/>
      <c r="O34" s="34">
        <f>IF(N34&gt;0,N34,0)</f>
        <v>0</v>
      </c>
      <c r="P34" s="38" t="s">
        <v>34</v>
      </c>
      <c r="Q34" s="34">
        <f>IF(P34="ON",O34,0)</f>
        <v>0</v>
      </c>
      <c r="R34" s="36"/>
    </row>
    <row r="35" ht="15.75" customHeight="1" spans="1:18">
      <c r="A35" s="29" t="s">
        <v>164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10"/>
      <c r="R35" s="10"/>
    </row>
    <row r="36" ht="16.5" customHeight="1" spans="1:18">
      <c r="A36" s="30" t="s">
        <v>165</v>
      </c>
      <c r="B36" s="31" t="s">
        <v>166</v>
      </c>
      <c r="C36" s="31" t="s">
        <v>167</v>
      </c>
      <c r="D36" s="30"/>
      <c r="E36" s="24"/>
      <c r="F36" s="30"/>
      <c r="G36" s="24"/>
      <c r="H36" s="30"/>
      <c r="I36" s="24"/>
      <c r="J36" s="30"/>
      <c r="K36" s="24"/>
      <c r="L36" s="30"/>
      <c r="M36" s="24"/>
      <c r="N36" s="33"/>
      <c r="O36" s="34">
        <f>IF(N36&gt;0,N36,0)</f>
        <v>0</v>
      </c>
      <c r="P36" s="38" t="s">
        <v>34</v>
      </c>
      <c r="Q36" s="34">
        <f>IF(P36="ON",O36,0)</f>
        <v>0</v>
      </c>
      <c r="R36" s="36" t="s">
        <v>168</v>
      </c>
    </row>
    <row r="37" ht="16.5" customHeight="1" spans="1:18">
      <c r="A37" s="30" t="s">
        <v>169</v>
      </c>
      <c r="B37" s="31" t="s">
        <v>170</v>
      </c>
      <c r="C37" s="31" t="s">
        <v>171</v>
      </c>
      <c r="D37" s="30"/>
      <c r="E37" s="24"/>
      <c r="F37" s="30"/>
      <c r="G37" s="24"/>
      <c r="H37" s="30"/>
      <c r="I37" s="24"/>
      <c r="J37" s="30"/>
      <c r="K37" s="24"/>
      <c r="L37" s="30"/>
      <c r="M37" s="24"/>
      <c r="N37" s="33"/>
      <c r="O37" s="34">
        <f>IF(N37&gt;0,N37,0)</f>
        <v>0</v>
      </c>
      <c r="P37" s="35" t="s">
        <v>34</v>
      </c>
      <c r="Q37" s="34">
        <f>IF(P37="ON",O37,0)</f>
        <v>0</v>
      </c>
      <c r="R37" s="36"/>
    </row>
    <row r="38" ht="16.5" customHeight="1" spans="1:18">
      <c r="A38" s="30" t="s">
        <v>172</v>
      </c>
      <c r="B38" s="31" t="s">
        <v>173</v>
      </c>
      <c r="C38" s="31" t="s">
        <v>174</v>
      </c>
      <c r="D38" s="31" t="s">
        <v>175</v>
      </c>
      <c r="E38" s="32"/>
      <c r="F38" s="31" t="s">
        <v>176</v>
      </c>
      <c r="G38" s="32"/>
      <c r="H38" s="30"/>
      <c r="I38" s="24"/>
      <c r="J38" s="30"/>
      <c r="K38" s="24"/>
      <c r="L38" s="30"/>
      <c r="M38" s="24"/>
      <c r="N38" s="33"/>
      <c r="O38" s="34">
        <f>IF(N38&gt;0,N38,E38*G38)</f>
        <v>0</v>
      </c>
      <c r="P38" s="38" t="s">
        <v>34</v>
      </c>
      <c r="Q38" s="34">
        <f>IF(P38="ON",O38,0)</f>
        <v>0</v>
      </c>
      <c r="R38" s="36" t="s">
        <v>177</v>
      </c>
    </row>
    <row r="39" ht="16.5" customHeight="1" spans="1:18">
      <c r="A39" s="30" t="s">
        <v>178</v>
      </c>
      <c r="B39" s="31" t="s">
        <v>179</v>
      </c>
      <c r="C39" s="31" t="s">
        <v>180</v>
      </c>
      <c r="D39" s="31" t="s">
        <v>181</v>
      </c>
      <c r="E39" s="32"/>
      <c r="F39" s="31" t="s">
        <v>182</v>
      </c>
      <c r="G39" s="32"/>
      <c r="H39" s="30"/>
      <c r="I39" s="24"/>
      <c r="J39" s="30"/>
      <c r="K39" s="24"/>
      <c r="L39" s="30"/>
      <c r="M39" s="24"/>
      <c r="N39" s="33"/>
      <c r="O39" s="34">
        <f>IF(N39&gt;0,N39,E39*G39)</f>
        <v>0</v>
      </c>
      <c r="P39" s="38" t="s">
        <v>34</v>
      </c>
      <c r="Q39" s="34">
        <f>IF(P39="ON",O39,0)</f>
        <v>0</v>
      </c>
      <c r="R39" s="36" t="s">
        <v>183</v>
      </c>
    </row>
    <row r="40" ht="16.5" customHeight="1" spans="1:18">
      <c r="A40" s="30" t="s">
        <v>184</v>
      </c>
      <c r="B40" s="31" t="s">
        <v>185</v>
      </c>
      <c r="C40" s="31" t="s">
        <v>186</v>
      </c>
      <c r="D40" s="30"/>
      <c r="E40" s="24"/>
      <c r="F40" s="30"/>
      <c r="G40" s="24"/>
      <c r="H40" s="30"/>
      <c r="I40" s="24"/>
      <c r="J40" s="30"/>
      <c r="K40" s="24"/>
      <c r="L40" s="30"/>
      <c r="M40" s="24"/>
      <c r="N40" s="33"/>
      <c r="O40" s="34">
        <f>IF(N40&gt;0,N40,0)</f>
        <v>0</v>
      </c>
      <c r="P40" s="38" t="s">
        <v>34</v>
      </c>
      <c r="Q40" s="34">
        <f>IF(P40="ON",O40,0)</f>
        <v>0</v>
      </c>
      <c r="R40" s="36"/>
    </row>
    <row r="41" ht="15.75" customHeight="1" spans="1:18">
      <c r="A41" s="29" t="s">
        <v>187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10"/>
      <c r="R41" s="10"/>
    </row>
    <row r="42" ht="32.25" customHeight="1" spans="1:18">
      <c r="A42" s="30" t="s">
        <v>188</v>
      </c>
      <c r="B42" s="31" t="s">
        <v>189</v>
      </c>
      <c r="C42" s="31" t="s">
        <v>190</v>
      </c>
      <c r="D42" s="30"/>
      <c r="E42" s="24"/>
      <c r="F42" s="30"/>
      <c r="G42" s="24"/>
      <c r="H42" s="30"/>
      <c r="I42" s="24"/>
      <c r="J42" s="30"/>
      <c r="K42" s="24"/>
      <c r="L42" s="30"/>
      <c r="M42" s="24"/>
      <c r="N42" s="33"/>
      <c r="O42" s="34">
        <f>IF(N42&gt;0,N42,0)</f>
        <v>0</v>
      </c>
      <c r="P42" s="35" t="s">
        <v>34</v>
      </c>
      <c r="Q42" s="34">
        <f>IF(P42="ON",O42,0)</f>
        <v>0</v>
      </c>
      <c r="R42" s="36"/>
    </row>
    <row r="43" ht="48" customHeight="1" spans="1:18">
      <c r="A43" s="30" t="s">
        <v>191</v>
      </c>
      <c r="B43" s="31" t="s">
        <v>192</v>
      </c>
      <c r="C43" s="31" t="s">
        <v>193</v>
      </c>
      <c r="D43" s="31" t="s">
        <v>194</v>
      </c>
      <c r="E43" s="32">
        <v>100000</v>
      </c>
      <c r="F43" s="31" t="s">
        <v>195</v>
      </c>
      <c r="G43" s="32">
        <v>0.1</v>
      </c>
      <c r="H43" s="31" t="s">
        <v>196</v>
      </c>
      <c r="I43" s="32"/>
      <c r="J43" s="31" t="s">
        <v>197</v>
      </c>
      <c r="K43" s="32"/>
      <c r="L43" s="30"/>
      <c r="M43" s="24"/>
      <c r="N43" s="33"/>
      <c r="O43" s="34">
        <f>IF(N43&gt;0,N43,E43*G43+I43*K43)</f>
        <v>10000</v>
      </c>
      <c r="P43" s="35" t="s">
        <v>34</v>
      </c>
      <c r="Q43" s="34">
        <f>IF(P43="ON",O43,0)</f>
        <v>10000</v>
      </c>
      <c r="R43" s="36" t="s">
        <v>198</v>
      </c>
    </row>
    <row r="44" ht="16.5" customHeight="1" spans="1:18">
      <c r="A44" s="30" t="s">
        <v>199</v>
      </c>
      <c r="B44" s="31" t="s">
        <v>200</v>
      </c>
      <c r="C44" s="31" t="s">
        <v>201</v>
      </c>
      <c r="D44" s="31" t="s">
        <v>202</v>
      </c>
      <c r="E44" s="32"/>
      <c r="F44" s="31" t="s">
        <v>203</v>
      </c>
      <c r="G44" s="32"/>
      <c r="H44" s="31" t="s">
        <v>204</v>
      </c>
      <c r="I44" s="32"/>
      <c r="J44" s="30"/>
      <c r="K44" s="24"/>
      <c r="L44" s="30"/>
      <c r="M44" s="24"/>
      <c r="N44" s="33"/>
      <c r="O44" s="34">
        <f>IF(N44&gt;0,N44,E44*G44*I44)</f>
        <v>0</v>
      </c>
      <c r="P44" s="35" t="s">
        <v>34</v>
      </c>
      <c r="Q44" s="34">
        <f>IF(P44="ON",O44,0)</f>
        <v>0</v>
      </c>
      <c r="R44" s="36" t="s">
        <v>205</v>
      </c>
    </row>
    <row r="45" ht="16.5" customHeight="1" spans="1:18">
      <c r="A45" s="30" t="s">
        <v>206</v>
      </c>
      <c r="B45" s="31" t="s">
        <v>207</v>
      </c>
      <c r="C45" s="31" t="s">
        <v>208</v>
      </c>
      <c r="D45" s="31" t="s">
        <v>209</v>
      </c>
      <c r="E45" s="32"/>
      <c r="F45" s="31" t="s">
        <v>210</v>
      </c>
      <c r="G45" s="32"/>
      <c r="H45" s="30"/>
      <c r="I45" s="24"/>
      <c r="J45" s="30"/>
      <c r="K45" s="24"/>
      <c r="L45" s="30"/>
      <c r="M45" s="24"/>
      <c r="N45" s="33"/>
      <c r="O45" s="34">
        <f>IF(N45&gt;0,N45,E45*G45)</f>
        <v>0</v>
      </c>
      <c r="P45" s="35" t="s">
        <v>34</v>
      </c>
      <c r="Q45" s="34">
        <f>IF(P45="ON",O45,0)</f>
        <v>0</v>
      </c>
      <c r="R45" s="36"/>
    </row>
    <row r="46" ht="16.5" customHeight="1" spans="1:18">
      <c r="A46" s="30" t="s">
        <v>211</v>
      </c>
      <c r="B46" s="31" t="s">
        <v>212</v>
      </c>
      <c r="C46" s="31" t="s">
        <v>213</v>
      </c>
      <c r="D46" s="31" t="s">
        <v>214</v>
      </c>
      <c r="E46" s="32"/>
      <c r="F46" s="31" t="s">
        <v>33</v>
      </c>
      <c r="G46" s="32"/>
      <c r="H46" s="30"/>
      <c r="I46" s="24"/>
      <c r="J46" s="30"/>
      <c r="K46" s="24"/>
      <c r="L46" s="30"/>
      <c r="M46" s="24"/>
      <c r="N46" s="33"/>
      <c r="O46" s="34">
        <f>IF(N46&gt;0,N46,E46*G46)</f>
        <v>0</v>
      </c>
      <c r="P46" s="35" t="s">
        <v>34</v>
      </c>
      <c r="Q46" s="34">
        <f>IF(P46="ON",O46,0)</f>
        <v>0</v>
      </c>
      <c r="R46" s="36" t="s">
        <v>215</v>
      </c>
    </row>
    <row r="47" ht="15.75" customHeight="1" spans="1:18">
      <c r="A47" s="29" t="s">
        <v>216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10"/>
      <c r="R47" s="10"/>
    </row>
    <row r="48" ht="32.25" customHeight="1" spans="1:18">
      <c r="A48" s="30" t="s">
        <v>217</v>
      </c>
      <c r="B48" s="31" t="s">
        <v>218</v>
      </c>
      <c r="C48" s="31" t="s">
        <v>219</v>
      </c>
      <c r="D48" s="30"/>
      <c r="E48" s="24"/>
      <c r="F48" s="30"/>
      <c r="G48" s="24"/>
      <c r="H48" s="30"/>
      <c r="I48" s="24"/>
      <c r="J48" s="30"/>
      <c r="K48" s="24"/>
      <c r="L48" s="30"/>
      <c r="M48" s="24"/>
      <c r="N48" s="33"/>
      <c r="O48" s="34">
        <f>IF(N48&gt;0,N48,0)</f>
        <v>0</v>
      </c>
      <c r="P48" s="35" t="s">
        <v>34</v>
      </c>
      <c r="Q48" s="34">
        <f t="shared" ref="Q48:Q54" si="4">IF(P48="ON",O48,0)</f>
        <v>0</v>
      </c>
      <c r="R48" s="36" t="s">
        <v>220</v>
      </c>
    </row>
    <row r="49" ht="16.5" customHeight="1" spans="1:18">
      <c r="A49" s="30" t="s">
        <v>221</v>
      </c>
      <c r="B49" s="31" t="s">
        <v>222</v>
      </c>
      <c r="C49" s="31" t="s">
        <v>223</v>
      </c>
      <c r="D49" s="31" t="s">
        <v>224</v>
      </c>
      <c r="E49" s="32"/>
      <c r="F49" s="31" t="s">
        <v>55</v>
      </c>
      <c r="G49" s="32"/>
      <c r="H49" s="30"/>
      <c r="I49" s="24"/>
      <c r="J49" s="30"/>
      <c r="K49" s="24"/>
      <c r="L49" s="30"/>
      <c r="M49" s="24"/>
      <c r="N49" s="33"/>
      <c r="O49" s="34">
        <f>IF(N49&gt;0,N49,E49*G49)</f>
        <v>0</v>
      </c>
      <c r="P49" s="35" t="s">
        <v>34</v>
      </c>
      <c r="Q49" s="34">
        <f t="shared" si="4"/>
        <v>0</v>
      </c>
      <c r="R49" s="36"/>
    </row>
    <row r="50" ht="16.5" customHeight="1" spans="1:18">
      <c r="A50" s="30" t="s">
        <v>225</v>
      </c>
      <c r="B50" s="31" t="s">
        <v>226</v>
      </c>
      <c r="C50" s="31" t="s">
        <v>227</v>
      </c>
      <c r="D50" s="31" t="s">
        <v>228</v>
      </c>
      <c r="E50" s="32"/>
      <c r="F50" s="31" t="s">
        <v>229</v>
      </c>
      <c r="G50" s="32"/>
      <c r="H50" s="30"/>
      <c r="I50" s="24"/>
      <c r="J50" s="30"/>
      <c r="K50" s="24"/>
      <c r="L50" s="30"/>
      <c r="M50" s="24"/>
      <c r="N50" s="33"/>
      <c r="O50" s="34">
        <f>IF(N50&gt;0,N50,E50*G50)</f>
        <v>0</v>
      </c>
      <c r="P50" s="38" t="s">
        <v>34</v>
      </c>
      <c r="Q50" s="34">
        <f t="shared" si="4"/>
        <v>0</v>
      </c>
      <c r="R50" s="36" t="s">
        <v>230</v>
      </c>
    </row>
    <row r="51" ht="32.25" customHeight="1" spans="1:18">
      <c r="A51" s="30" t="s">
        <v>231</v>
      </c>
      <c r="B51" s="31" t="s">
        <v>232</v>
      </c>
      <c r="C51" s="31" t="s">
        <v>233</v>
      </c>
      <c r="D51" s="30"/>
      <c r="E51" s="24"/>
      <c r="F51" s="30"/>
      <c r="G51" s="24"/>
      <c r="H51" s="30"/>
      <c r="I51" s="24"/>
      <c r="J51" s="30"/>
      <c r="K51" s="24"/>
      <c r="L51" s="30"/>
      <c r="M51" s="24"/>
      <c r="N51" s="33"/>
      <c r="O51" s="34">
        <f>IF(N51&gt;0,N51,0)</f>
        <v>0</v>
      </c>
      <c r="P51" s="38" t="s">
        <v>34</v>
      </c>
      <c r="Q51" s="34">
        <f t="shared" si="4"/>
        <v>0</v>
      </c>
      <c r="R51" s="36" t="s">
        <v>234</v>
      </c>
    </row>
    <row r="52" ht="32.25" customHeight="1" spans="1:18">
      <c r="A52" s="30" t="s">
        <v>235</v>
      </c>
      <c r="B52" s="31" t="s">
        <v>236</v>
      </c>
      <c r="C52" s="31" t="s">
        <v>237</v>
      </c>
      <c r="D52" s="30"/>
      <c r="E52" s="24"/>
      <c r="F52" s="30"/>
      <c r="G52" s="24"/>
      <c r="H52" s="30"/>
      <c r="I52" s="24"/>
      <c r="J52" s="30"/>
      <c r="K52" s="24"/>
      <c r="L52" s="30"/>
      <c r="M52" s="24"/>
      <c r="N52" s="33"/>
      <c r="O52" s="34">
        <f>IF(N52&gt;0,N52,0)</f>
        <v>0</v>
      </c>
      <c r="P52" s="38" t="s">
        <v>34</v>
      </c>
      <c r="Q52" s="34">
        <f t="shared" si="4"/>
        <v>0</v>
      </c>
      <c r="R52" s="36"/>
    </row>
    <row r="53" ht="16.5" customHeight="1" spans="1:18">
      <c r="A53" s="30" t="s">
        <v>238</v>
      </c>
      <c r="B53" s="31" t="s">
        <v>239</v>
      </c>
      <c r="C53" s="31" t="s">
        <v>240</v>
      </c>
      <c r="D53" s="30"/>
      <c r="E53" s="24"/>
      <c r="F53" s="30"/>
      <c r="G53" s="24"/>
      <c r="H53" s="30"/>
      <c r="I53" s="24"/>
      <c r="J53" s="30"/>
      <c r="K53" s="24"/>
      <c r="L53" s="30"/>
      <c r="M53" s="24"/>
      <c r="N53" s="33"/>
      <c r="O53" s="34">
        <f>IF(N53&gt;0,N53,0)</f>
        <v>0</v>
      </c>
      <c r="P53" s="38" t="s">
        <v>34</v>
      </c>
      <c r="Q53" s="34">
        <f t="shared" si="4"/>
        <v>0</v>
      </c>
      <c r="R53" s="36" t="s">
        <v>241</v>
      </c>
    </row>
    <row r="54" ht="16.5" customHeight="1" spans="1:18">
      <c r="A54" s="30" t="s">
        <v>242</v>
      </c>
      <c r="B54" s="31" t="s">
        <v>243</v>
      </c>
      <c r="C54" s="31" t="s">
        <v>244</v>
      </c>
      <c r="D54" s="30"/>
      <c r="E54" s="24"/>
      <c r="F54" s="30"/>
      <c r="G54" s="24"/>
      <c r="H54" s="30"/>
      <c r="I54" s="24"/>
      <c r="J54" s="30"/>
      <c r="K54" s="24"/>
      <c r="L54" s="30"/>
      <c r="M54" s="24"/>
      <c r="N54" s="33"/>
      <c r="O54" s="34">
        <f>IF(N54&gt;0,N54,0)</f>
        <v>0</v>
      </c>
      <c r="P54" s="38" t="s">
        <v>34</v>
      </c>
      <c r="Q54" s="34">
        <f t="shared" si="4"/>
        <v>0</v>
      </c>
      <c r="R54" s="36" t="s">
        <v>245</v>
      </c>
    </row>
    <row r="55" ht="15.75" customHeight="1" spans="1:18">
      <c r="A55" s="29" t="s">
        <v>246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10"/>
      <c r="R55" s="10"/>
    </row>
    <row r="56" ht="32.25" customHeight="1" spans="1:18">
      <c r="A56" s="30" t="s">
        <v>247</v>
      </c>
      <c r="B56" s="31" t="s">
        <v>248</v>
      </c>
      <c r="C56" s="30" t="s">
        <v>249</v>
      </c>
      <c r="D56" s="31" t="s">
        <v>250</v>
      </c>
      <c r="E56" s="32"/>
      <c r="F56" s="31" t="s">
        <v>251</v>
      </c>
      <c r="G56" s="32"/>
      <c r="H56" s="31" t="s">
        <v>252</v>
      </c>
      <c r="I56" s="32"/>
      <c r="J56" s="30"/>
      <c r="K56" s="24"/>
      <c r="L56" s="30"/>
      <c r="M56" s="24"/>
      <c r="N56" s="33"/>
      <c r="O56" s="34">
        <f>IF(N56&gt;0,N56,IF(E56&gt;0,MAX(E56-G56,0)/E56*I56,0))</f>
        <v>0</v>
      </c>
      <c r="P56" s="38" t="s">
        <v>34</v>
      </c>
      <c r="Q56" s="34">
        <f>IF(P56="ON",O56,0)</f>
        <v>0</v>
      </c>
      <c r="R56" s="36" t="s">
        <v>253</v>
      </c>
    </row>
    <row r="57" ht="15.75" customHeight="1" spans="1:18">
      <c r="A57" s="39" t="s">
        <v>254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40" t="s">
        <v>255</v>
      </c>
      <c r="N57" s="41" t="s">
        <v>256</v>
      </c>
      <c r="O57" s="14"/>
      <c r="P57" s="14"/>
      <c r="Q57" s="14"/>
      <c r="R57" s="14"/>
    </row>
    <row r="58" ht="32.25" customHeight="1" spans="1:18">
      <c r="A58" s="30" t="s">
        <v>257</v>
      </c>
      <c r="B58" s="31" t="s">
        <v>258</v>
      </c>
      <c r="C58" s="31" t="s">
        <v>259</v>
      </c>
      <c r="D58" s="31" t="s">
        <v>260</v>
      </c>
      <c r="E58" s="32">
        <v>500000</v>
      </c>
      <c r="F58" s="31" t="s">
        <v>261</v>
      </c>
      <c r="G58" s="32">
        <v>3</v>
      </c>
      <c r="H58" s="31" t="s">
        <v>262</v>
      </c>
      <c r="I58" s="32">
        <v>1</v>
      </c>
      <c r="J58" s="31" t="s">
        <v>263</v>
      </c>
      <c r="K58" s="32">
        <v>0.4</v>
      </c>
      <c r="L58" s="31" t="s">
        <v>264</v>
      </c>
      <c r="M58" s="32">
        <v>0.8</v>
      </c>
      <c r="N58" s="33"/>
      <c r="O58" s="34">
        <f>IF($N$57="财务对照法",0,IF(N58&gt;0,N58,E58*MAX(G58-I58,0)*K58*M58))</f>
        <v>320000</v>
      </c>
      <c r="P58" s="35" t="s">
        <v>34</v>
      </c>
      <c r="Q58" s="34">
        <f>IF(P58="ON",O58,0)</f>
        <v>320000</v>
      </c>
      <c r="R58" s="36" t="s">
        <v>265</v>
      </c>
    </row>
    <row r="59" ht="32.25" customHeight="1" spans="1:18">
      <c r="A59" s="30" t="s">
        <v>266</v>
      </c>
      <c r="B59" s="31" t="s">
        <v>267</v>
      </c>
      <c r="C59" s="31" t="s">
        <v>268</v>
      </c>
      <c r="D59" s="31" t="s">
        <v>269</v>
      </c>
      <c r="E59" s="32"/>
      <c r="F59" s="31" t="s">
        <v>261</v>
      </c>
      <c r="G59" s="32"/>
      <c r="H59" s="31" t="s">
        <v>262</v>
      </c>
      <c r="I59" s="32">
        <v>0</v>
      </c>
      <c r="J59" s="31" t="s">
        <v>263</v>
      </c>
      <c r="K59" s="32"/>
      <c r="L59" s="31" t="s">
        <v>264</v>
      </c>
      <c r="M59" s="32">
        <v>1</v>
      </c>
      <c r="N59" s="33"/>
      <c r="O59" s="34">
        <f>IF($N$57="财务对照法",0,IF(N59&gt;0,N59,E59*MAX(G59-I59,0)*K59*M59))</f>
        <v>0</v>
      </c>
      <c r="P59" s="38" t="s">
        <v>34</v>
      </c>
      <c r="Q59" s="34">
        <f>IF(P59="ON",O59,0)</f>
        <v>0</v>
      </c>
      <c r="R59" s="36" t="s">
        <v>270</v>
      </c>
    </row>
    <row r="60" ht="32.25" customHeight="1" spans="1:18">
      <c r="A60" s="30" t="s">
        <v>271</v>
      </c>
      <c r="B60" s="31" t="s">
        <v>272</v>
      </c>
      <c r="C60" s="30" t="s">
        <v>273</v>
      </c>
      <c r="D60" s="31" t="s">
        <v>274</v>
      </c>
      <c r="E60" s="32"/>
      <c r="F60" s="31" t="s">
        <v>275</v>
      </c>
      <c r="G60" s="32"/>
      <c r="H60" s="31" t="s">
        <v>263</v>
      </c>
      <c r="I60" s="32"/>
      <c r="J60" s="31" t="s">
        <v>264</v>
      </c>
      <c r="K60" s="32">
        <v>1</v>
      </c>
      <c r="L60" s="30"/>
      <c r="M60" s="24"/>
      <c r="N60" s="33"/>
      <c r="O60" s="34">
        <f>IF($N$57="公式外推法",0,IF(N60&gt;0,N60,MAX(E60-G60,0)*I60*K60))</f>
        <v>0</v>
      </c>
      <c r="P60" s="35" t="s">
        <v>34</v>
      </c>
      <c r="Q60" s="34">
        <f>IF(P60="ON",O60,0)</f>
        <v>0</v>
      </c>
      <c r="R60" s="36" t="s">
        <v>276</v>
      </c>
    </row>
    <row r="61" ht="29.25" customHeight="1" spans="1:18">
      <c r="A61" s="42" t="s">
        <v>277</v>
      </c>
      <c r="B61" s="37" t="s">
        <v>278</v>
      </c>
      <c r="C61" s="43" t="s">
        <v>279</v>
      </c>
      <c r="D61" s="43" t="s">
        <v>280</v>
      </c>
      <c r="E61" s="33">
        <v>0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ht="15.75" customHeight="1" spans="1:18">
      <c r="A62" s="39" t="s">
        <v>281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14"/>
      <c r="R62" s="14"/>
    </row>
    <row r="63" ht="16.5" customHeight="1" spans="1:18">
      <c r="A63" s="30" t="s">
        <v>282</v>
      </c>
      <c r="B63" s="31" t="s">
        <v>283</v>
      </c>
      <c r="C63" s="31" t="s">
        <v>284</v>
      </c>
      <c r="D63" s="30"/>
      <c r="E63" s="24"/>
      <c r="F63" s="30"/>
      <c r="G63" s="24"/>
      <c r="H63" s="30"/>
      <c r="I63" s="24"/>
      <c r="J63" s="30"/>
      <c r="K63" s="24"/>
      <c r="L63" s="30"/>
      <c r="M63" s="24"/>
      <c r="N63" s="33"/>
      <c r="O63" s="34">
        <f>IF(N63&gt;0,N63,0)</f>
        <v>0</v>
      </c>
      <c r="P63" s="35" t="s">
        <v>34</v>
      </c>
      <c r="Q63" s="34">
        <f>IF(P63="ON",O63,0)</f>
        <v>0</v>
      </c>
      <c r="R63" s="36" t="s">
        <v>285</v>
      </c>
    </row>
    <row r="64" ht="16.5" customHeight="1" spans="1:18">
      <c r="A64" s="30" t="s">
        <v>286</v>
      </c>
      <c r="B64" s="31" t="s">
        <v>287</v>
      </c>
      <c r="C64" s="31" t="s">
        <v>288</v>
      </c>
      <c r="D64" s="31" t="s">
        <v>289</v>
      </c>
      <c r="E64" s="32"/>
      <c r="F64" s="31" t="s">
        <v>182</v>
      </c>
      <c r="G64" s="32"/>
      <c r="H64" s="30"/>
      <c r="I64" s="24"/>
      <c r="J64" s="30"/>
      <c r="K64" s="24"/>
      <c r="L64" s="30"/>
      <c r="M64" s="24"/>
      <c r="N64" s="33"/>
      <c r="O64" s="34">
        <f>IF(N64&gt;0,N64,E64*G64)</f>
        <v>0</v>
      </c>
      <c r="P64" s="35" t="s">
        <v>34</v>
      </c>
      <c r="Q64" s="34">
        <f>IF(P64="ON",O64,0)</f>
        <v>0</v>
      </c>
      <c r="R64" s="36" t="s">
        <v>290</v>
      </c>
    </row>
    <row r="65" ht="32.25" customHeight="1" spans="1:18">
      <c r="A65" s="30" t="s">
        <v>291</v>
      </c>
      <c r="B65" s="31" t="s">
        <v>292</v>
      </c>
      <c r="C65" s="31" t="s">
        <v>293</v>
      </c>
      <c r="D65" s="30"/>
      <c r="E65" s="24"/>
      <c r="F65" s="30"/>
      <c r="G65" s="24"/>
      <c r="H65" s="30"/>
      <c r="I65" s="24"/>
      <c r="J65" s="30"/>
      <c r="K65" s="24"/>
      <c r="L65" s="30"/>
      <c r="M65" s="24"/>
      <c r="N65" s="33"/>
      <c r="O65" s="34">
        <f>IF(N65&gt;0,N65,0)</f>
        <v>0</v>
      </c>
      <c r="P65" s="35" t="s">
        <v>34</v>
      </c>
      <c r="Q65" s="34">
        <f>IF(P65="ON",O65,0)</f>
        <v>0</v>
      </c>
      <c r="R65" s="36"/>
    </row>
    <row r="66" ht="16.5" customHeight="1" spans="1:18">
      <c r="A66" s="30" t="s">
        <v>294</v>
      </c>
      <c r="B66" s="31" t="s">
        <v>295</v>
      </c>
      <c r="C66" s="30" t="s">
        <v>296</v>
      </c>
      <c r="D66" s="31" t="s">
        <v>297</v>
      </c>
      <c r="E66" s="32"/>
      <c r="F66" s="31" t="s">
        <v>298</v>
      </c>
      <c r="G66" s="32"/>
      <c r="H66" s="30"/>
      <c r="I66" s="24"/>
      <c r="J66" s="30"/>
      <c r="K66" s="24"/>
      <c r="L66" s="30"/>
      <c r="M66" s="24"/>
      <c r="N66" s="33"/>
      <c r="O66" s="34">
        <f>IF(N66&gt;0,N66,E66*G66)</f>
        <v>0</v>
      </c>
      <c r="P66" s="38" t="s">
        <v>34</v>
      </c>
      <c r="Q66" s="34">
        <f>IF(P66="ON",O66,0)</f>
        <v>0</v>
      </c>
      <c r="R66" s="36" t="s">
        <v>299</v>
      </c>
    </row>
    <row r="67" ht="32.25" customHeight="1" spans="1:18">
      <c r="A67" s="30" t="s">
        <v>300</v>
      </c>
      <c r="B67" s="31" t="s">
        <v>301</v>
      </c>
      <c r="C67" s="30" t="s">
        <v>302</v>
      </c>
      <c r="D67" s="31" t="s">
        <v>303</v>
      </c>
      <c r="E67" s="32">
        <v>50000</v>
      </c>
      <c r="F67" s="31" t="s">
        <v>304</v>
      </c>
      <c r="G67" s="32">
        <v>10000</v>
      </c>
      <c r="H67" s="30"/>
      <c r="I67" s="24"/>
      <c r="J67" s="30"/>
      <c r="K67" s="24"/>
      <c r="L67" s="30"/>
      <c r="M67" s="24"/>
      <c r="N67" s="33"/>
      <c r="O67" s="34">
        <f>IF(N67&gt;0,N67,MAX(E67-G67,0))</f>
        <v>40000</v>
      </c>
      <c r="P67" s="38" t="s">
        <v>34</v>
      </c>
      <c r="Q67" s="34">
        <f>IF(P67="ON",O67,0)</f>
        <v>40000</v>
      </c>
      <c r="R67" s="36" t="s">
        <v>305</v>
      </c>
    </row>
    <row r="68" ht="15.75" customHeight="1" spans="1:18">
      <c r="A68" s="39" t="s">
        <v>306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14"/>
      <c r="R68" s="14"/>
    </row>
    <row r="69" ht="32.25" customHeight="1" spans="1:18">
      <c r="A69" s="30" t="s">
        <v>307</v>
      </c>
      <c r="B69" s="31" t="s">
        <v>308</v>
      </c>
      <c r="C69" s="30" t="s">
        <v>309</v>
      </c>
      <c r="D69" s="31" t="s">
        <v>310</v>
      </c>
      <c r="E69" s="32">
        <v>800000</v>
      </c>
      <c r="F69" s="31" t="s">
        <v>311</v>
      </c>
      <c r="G69" s="32">
        <v>1000000</v>
      </c>
      <c r="H69" s="30"/>
      <c r="I69" s="24"/>
      <c r="J69" s="30"/>
      <c r="K69" s="24"/>
      <c r="L69" s="30"/>
      <c r="M69" s="24"/>
      <c r="N69" s="33"/>
      <c r="O69" s="34">
        <f>IF(N69&gt;0,N69,IF(G69&gt;0,MIN(E69,G69),E69))</f>
        <v>800000</v>
      </c>
      <c r="P69" s="38" t="s">
        <v>34</v>
      </c>
      <c r="Q69" s="34">
        <f>IF(P69="ON",O69,0)</f>
        <v>800000</v>
      </c>
      <c r="R69" s="36" t="s">
        <v>312</v>
      </c>
    </row>
    <row r="70" ht="15.75" customHeight="1" spans="1:18">
      <c r="A70" s="39" t="s">
        <v>313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14"/>
      <c r="R70" s="14"/>
    </row>
    <row r="71" ht="32.25" customHeight="1" spans="1:18">
      <c r="A71" s="30" t="s">
        <v>314</v>
      </c>
      <c r="B71" s="31" t="s">
        <v>315</v>
      </c>
      <c r="C71" s="31" t="s">
        <v>316</v>
      </c>
      <c r="D71" s="31" t="s">
        <v>85</v>
      </c>
      <c r="E71" s="32"/>
      <c r="F71" s="31" t="s">
        <v>317</v>
      </c>
      <c r="G71" s="32"/>
      <c r="H71" s="30"/>
      <c r="I71" s="24"/>
      <c r="J71" s="30"/>
      <c r="K71" s="24"/>
      <c r="L71" s="30"/>
      <c r="M71" s="24"/>
      <c r="N71" s="33"/>
      <c r="O71" s="34">
        <f>IF(N71&gt;0,N71,E71*G71)</f>
        <v>0</v>
      </c>
      <c r="P71" s="38" t="s">
        <v>34</v>
      </c>
      <c r="Q71" s="34">
        <f>IF(P71="ON",O71,0)</f>
        <v>0</v>
      </c>
      <c r="R71" s="36" t="s">
        <v>318</v>
      </c>
    </row>
    <row r="72" ht="32.25" customHeight="1" spans="1:18">
      <c r="A72" s="30" t="s">
        <v>319</v>
      </c>
      <c r="B72" s="31" t="s">
        <v>320</v>
      </c>
      <c r="C72" s="31" t="s">
        <v>321</v>
      </c>
      <c r="D72" s="31" t="s">
        <v>322</v>
      </c>
      <c r="E72" s="32"/>
      <c r="F72" s="31" t="s">
        <v>323</v>
      </c>
      <c r="G72" s="32"/>
      <c r="H72" s="30"/>
      <c r="I72" s="24"/>
      <c r="J72" s="30"/>
      <c r="K72" s="24"/>
      <c r="L72" s="30"/>
      <c r="M72" s="24"/>
      <c r="N72" s="33"/>
      <c r="O72" s="34">
        <f>IF(N72&gt;0,N72,E72+G72)</f>
        <v>0</v>
      </c>
      <c r="P72" s="38" t="s">
        <v>34</v>
      </c>
      <c r="Q72" s="34">
        <f>IF(P72="ON",O72,0)</f>
        <v>0</v>
      </c>
      <c r="R72" s="36" t="s">
        <v>324</v>
      </c>
    </row>
    <row r="73" ht="15.75" customHeight="1" spans="1:18">
      <c r="A73" s="44" t="s">
        <v>325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8"/>
      <c r="R73" s="18"/>
    </row>
    <row r="74" ht="32.25" customHeight="1" spans="1:18">
      <c r="A74" s="30" t="s">
        <v>326</v>
      </c>
      <c r="B74" s="31" t="s">
        <v>327</v>
      </c>
      <c r="C74" s="31" t="s">
        <v>328</v>
      </c>
      <c r="D74" s="31" t="s">
        <v>329</v>
      </c>
      <c r="E74" s="32"/>
      <c r="F74" s="31" t="s">
        <v>330</v>
      </c>
      <c r="G74" s="32"/>
      <c r="H74" s="30"/>
      <c r="I74" s="24"/>
      <c r="J74" s="30"/>
      <c r="K74" s="24"/>
      <c r="L74" s="30"/>
      <c r="M74" s="24"/>
      <c r="N74" s="33"/>
      <c r="O74" s="34">
        <f>IF(N74&gt;0,N74,E74*G74)</f>
        <v>0</v>
      </c>
      <c r="P74" s="35" t="s">
        <v>34</v>
      </c>
      <c r="Q74" s="34">
        <f t="shared" ref="Q74:Q79" si="5">IF(P74="ON",O74,0)</f>
        <v>0</v>
      </c>
      <c r="R74" s="36" t="s">
        <v>331</v>
      </c>
    </row>
    <row r="75" ht="16.5" customHeight="1" spans="1:18">
      <c r="A75" s="30" t="s">
        <v>332</v>
      </c>
      <c r="B75" s="31" t="s">
        <v>333</v>
      </c>
      <c r="C75" s="31" t="s">
        <v>334</v>
      </c>
      <c r="D75" s="30"/>
      <c r="E75" s="24"/>
      <c r="F75" s="30"/>
      <c r="G75" s="24"/>
      <c r="H75" s="30"/>
      <c r="I75" s="24"/>
      <c r="J75" s="30"/>
      <c r="K75" s="24"/>
      <c r="L75" s="30"/>
      <c r="M75" s="24"/>
      <c r="N75" s="33"/>
      <c r="O75" s="34">
        <f>IF(N75&gt;0,N75,0)</f>
        <v>0</v>
      </c>
      <c r="P75" s="35" t="s">
        <v>34</v>
      </c>
      <c r="Q75" s="34">
        <f t="shared" si="5"/>
        <v>0</v>
      </c>
      <c r="R75" s="36" t="s">
        <v>335</v>
      </c>
    </row>
    <row r="76" ht="32.25" customHeight="1" spans="1:18">
      <c r="A76" s="30" t="s">
        <v>336</v>
      </c>
      <c r="B76" s="31" t="s">
        <v>337</v>
      </c>
      <c r="C76" s="31" t="s">
        <v>338</v>
      </c>
      <c r="D76" s="31" t="s">
        <v>339</v>
      </c>
      <c r="E76" s="32"/>
      <c r="F76" s="31" t="s">
        <v>340</v>
      </c>
      <c r="G76" s="41" t="s">
        <v>341</v>
      </c>
      <c r="H76" s="30"/>
      <c r="I76" s="24"/>
      <c r="J76" s="30"/>
      <c r="K76" s="24"/>
      <c r="L76" s="30"/>
      <c r="M76" s="24"/>
      <c r="N76" s="33"/>
      <c r="O76" s="34">
        <f>IF(N76&gt;0,N76,IF(G76="是",E76,0))</f>
        <v>0</v>
      </c>
      <c r="P76" s="35" t="s">
        <v>34</v>
      </c>
      <c r="Q76" s="34">
        <f t="shared" si="5"/>
        <v>0</v>
      </c>
      <c r="R76" s="36" t="s">
        <v>342</v>
      </c>
    </row>
    <row r="77" ht="32.25" customHeight="1" spans="1:18">
      <c r="A77" s="30" t="s">
        <v>343</v>
      </c>
      <c r="B77" s="31" t="s">
        <v>344</v>
      </c>
      <c r="C77" s="31" t="s">
        <v>345</v>
      </c>
      <c r="D77" s="30"/>
      <c r="E77" s="24"/>
      <c r="F77" s="30"/>
      <c r="G77" s="24"/>
      <c r="H77" s="30"/>
      <c r="I77" s="24"/>
      <c r="J77" s="30"/>
      <c r="K77" s="24"/>
      <c r="L77" s="30"/>
      <c r="M77" s="24"/>
      <c r="N77" s="33"/>
      <c r="O77" s="34">
        <f>IF(N77&gt;0,N77,0)</f>
        <v>0</v>
      </c>
      <c r="P77" s="35" t="s">
        <v>34</v>
      </c>
      <c r="Q77" s="34">
        <f t="shared" si="5"/>
        <v>0</v>
      </c>
      <c r="R77" s="36"/>
    </row>
    <row r="78" ht="32.25" customHeight="1" spans="1:18">
      <c r="A78" s="30" t="s">
        <v>346</v>
      </c>
      <c r="B78" s="31" t="s">
        <v>347</v>
      </c>
      <c r="C78" s="31" t="s">
        <v>348</v>
      </c>
      <c r="D78" s="30"/>
      <c r="E78" s="24"/>
      <c r="F78" s="30"/>
      <c r="G78" s="24"/>
      <c r="H78" s="30"/>
      <c r="I78" s="24"/>
      <c r="J78" s="30"/>
      <c r="K78" s="24"/>
      <c r="L78" s="30"/>
      <c r="M78" s="24"/>
      <c r="N78" s="33"/>
      <c r="O78" s="34">
        <f>IF(N78&gt;0,N78,0)</f>
        <v>0</v>
      </c>
      <c r="P78" s="35" t="s">
        <v>34</v>
      </c>
      <c r="Q78" s="34">
        <f t="shared" si="5"/>
        <v>0</v>
      </c>
      <c r="R78" s="36"/>
    </row>
    <row r="79" ht="16.5" customHeight="1" spans="1:18">
      <c r="A79" s="30" t="s">
        <v>349</v>
      </c>
      <c r="B79" s="31" t="s">
        <v>350</v>
      </c>
      <c r="C79" s="31" t="s">
        <v>351</v>
      </c>
      <c r="D79" s="30"/>
      <c r="E79" s="24"/>
      <c r="F79" s="30"/>
      <c r="G79" s="24"/>
      <c r="H79" s="30"/>
      <c r="I79" s="24"/>
      <c r="J79" s="30"/>
      <c r="K79" s="24"/>
      <c r="L79" s="30"/>
      <c r="M79" s="24"/>
      <c r="N79" s="33"/>
      <c r="O79" s="34">
        <f>IF(N79&gt;0,N79,0)</f>
        <v>0</v>
      </c>
      <c r="P79" s="38" t="s">
        <v>34</v>
      </c>
      <c r="Q79" s="34">
        <f t="shared" si="5"/>
        <v>0</v>
      </c>
      <c r="R79" s="36" t="s">
        <v>352</v>
      </c>
    </row>
    <row r="80" ht="15.75" customHeight="1" spans="1:18">
      <c r="A80" s="44" t="s">
        <v>353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18"/>
      <c r="R80" s="18"/>
    </row>
    <row r="81" ht="32.25" customHeight="1" spans="1:18">
      <c r="A81" s="30" t="s">
        <v>354</v>
      </c>
      <c r="B81" s="31" t="s">
        <v>355</v>
      </c>
      <c r="C81" s="31" t="s">
        <v>158</v>
      </c>
      <c r="D81" s="31" t="s">
        <v>85</v>
      </c>
      <c r="E81" s="32"/>
      <c r="F81" s="31" t="s">
        <v>159</v>
      </c>
      <c r="G81" s="32"/>
      <c r="H81" s="30"/>
      <c r="I81" s="24"/>
      <c r="J81" s="30"/>
      <c r="K81" s="24"/>
      <c r="L81" s="30"/>
      <c r="M81" s="24"/>
      <c r="N81" s="33"/>
      <c r="O81" s="34">
        <f>IF(N81&gt;0,N81,E81*G81)</f>
        <v>0</v>
      </c>
      <c r="P81" s="35" t="s">
        <v>34</v>
      </c>
      <c r="Q81" s="34">
        <f>IF(P81="ON",O81,0)</f>
        <v>0</v>
      </c>
      <c r="R81" s="36" t="s">
        <v>356</v>
      </c>
    </row>
    <row r="82" ht="16.5" customHeight="1" spans="1:18">
      <c r="A82" s="30" t="s">
        <v>357</v>
      </c>
      <c r="B82" s="31" t="s">
        <v>358</v>
      </c>
      <c r="C82" s="31" t="s">
        <v>359</v>
      </c>
      <c r="D82" s="31" t="s">
        <v>85</v>
      </c>
      <c r="E82" s="32"/>
      <c r="F82" s="31" t="s">
        <v>159</v>
      </c>
      <c r="G82" s="32"/>
      <c r="H82" s="30"/>
      <c r="I82" s="24"/>
      <c r="J82" s="30"/>
      <c r="K82" s="24"/>
      <c r="L82" s="30"/>
      <c r="M82" s="24"/>
      <c r="N82" s="33"/>
      <c r="O82" s="34">
        <f>IF(N82&gt;0,N82,E82*G82)</f>
        <v>0</v>
      </c>
      <c r="P82" s="35" t="s">
        <v>34</v>
      </c>
      <c r="Q82" s="34">
        <f>IF(P82="ON",O82,0)</f>
        <v>0</v>
      </c>
      <c r="R82" s="36" t="s">
        <v>360</v>
      </c>
    </row>
    <row r="83" ht="16.5" customHeight="1" spans="1:18">
      <c r="A83" s="30" t="s">
        <v>361</v>
      </c>
      <c r="B83" s="31" t="s">
        <v>362</v>
      </c>
      <c r="C83" s="31" t="s">
        <v>363</v>
      </c>
      <c r="D83" s="30"/>
      <c r="E83" s="24"/>
      <c r="F83" s="30"/>
      <c r="G83" s="24"/>
      <c r="H83" s="30"/>
      <c r="I83" s="24"/>
      <c r="J83" s="30"/>
      <c r="K83" s="24"/>
      <c r="L83" s="30"/>
      <c r="M83" s="24"/>
      <c r="N83" s="33"/>
      <c r="O83" s="34">
        <f>IF(N83&gt;0,N83,0)</f>
        <v>0</v>
      </c>
      <c r="P83" s="35" t="s">
        <v>34</v>
      </c>
      <c r="Q83" s="34">
        <f>IF(P83="ON",O83,0)</f>
        <v>0</v>
      </c>
      <c r="R83" s="36"/>
    </row>
    <row r="84" ht="15.75" customHeight="1" spans="1:18">
      <c r="A84" s="44" t="s">
        <v>364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18"/>
      <c r="R84" s="18"/>
    </row>
    <row r="85" ht="32.25" customHeight="1" spans="1:18">
      <c r="A85" s="30" t="s">
        <v>365</v>
      </c>
      <c r="B85" s="31" t="s">
        <v>366</v>
      </c>
      <c r="C85" s="31" t="s">
        <v>367</v>
      </c>
      <c r="D85" s="30"/>
      <c r="E85" s="24"/>
      <c r="F85" s="30"/>
      <c r="G85" s="24"/>
      <c r="H85" s="30"/>
      <c r="I85" s="24"/>
      <c r="J85" s="30"/>
      <c r="K85" s="24"/>
      <c r="L85" s="30"/>
      <c r="M85" s="24"/>
      <c r="N85" s="33"/>
      <c r="O85" s="34">
        <f>IF(N85&gt;0,N85,0)</f>
        <v>0</v>
      </c>
      <c r="P85" s="38" t="s">
        <v>34</v>
      </c>
      <c r="Q85" s="34">
        <f>IF(P85="ON",O85,0)</f>
        <v>0</v>
      </c>
      <c r="R85" s="37" t="s">
        <v>368</v>
      </c>
    </row>
    <row r="86" ht="32.25" customHeight="1" spans="1:18">
      <c r="A86" s="30" t="s">
        <v>369</v>
      </c>
      <c r="B86" s="31" t="s">
        <v>370</v>
      </c>
      <c r="C86" s="31" t="s">
        <v>371</v>
      </c>
      <c r="D86" s="31" t="s">
        <v>372</v>
      </c>
      <c r="E86" s="32"/>
      <c r="F86" s="31" t="s">
        <v>373</v>
      </c>
      <c r="G86" s="32"/>
      <c r="H86" s="30"/>
      <c r="I86" s="24"/>
      <c r="J86" s="30"/>
      <c r="K86" s="24"/>
      <c r="L86" s="30"/>
      <c r="M86" s="24"/>
      <c r="N86" s="33"/>
      <c r="O86" s="34">
        <f>IF(N86&gt;0,N86,E86*G86)</f>
        <v>0</v>
      </c>
      <c r="P86" s="38" t="s">
        <v>34</v>
      </c>
      <c r="Q86" s="34">
        <f>IF(P86="ON",O86,0)</f>
        <v>0</v>
      </c>
      <c r="R86" s="36" t="s">
        <v>374</v>
      </c>
    </row>
  </sheetData>
  <mergeCells count="15">
    <mergeCell ref="A2:P2"/>
    <mergeCell ref="A14:P14"/>
    <mergeCell ref="A26:P26"/>
    <mergeCell ref="A32:P32"/>
    <mergeCell ref="A35:P35"/>
    <mergeCell ref="A41:P41"/>
    <mergeCell ref="A47:P47"/>
    <mergeCell ref="A55:P55"/>
    <mergeCell ref="A57:L57"/>
    <mergeCell ref="A62:P62"/>
    <mergeCell ref="A68:P68"/>
    <mergeCell ref="A70:P70"/>
    <mergeCell ref="A73:P73"/>
    <mergeCell ref="A80:P80"/>
    <mergeCell ref="A84:P84"/>
  </mergeCells>
  <dataValidations count="3">
    <dataValidation type="list" sqref="P56 P69 P3:P13 P15:P25 P27:P31 P33:P34 P36:P40 P42:P46 P48:P54 P58:P60 P63:P67 P71:P72 P74:P79 P81:P83 P85:P86">
      <formula1>"ON,OFF"</formula1>
    </dataValidation>
    <dataValidation type="list" sqref="N57">
      <formula1>"公式外推法,财务对照法"</formula1>
    </dataValidation>
    <dataValidation type="list" allowBlank="1" sqref="G76">
      <formula1>"是,否"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E9" sqref="E9"/>
    </sheetView>
  </sheetViews>
  <sheetFormatPr defaultColWidth="8.62962962962963" defaultRowHeight="14.4" outlineLevelCol="5"/>
  <cols>
    <col min="1" max="1" width="10" customWidth="1"/>
    <col min="2" max="2" width="46" customWidth="1"/>
    <col min="3" max="3" width="8" customWidth="1"/>
    <col min="4" max="5" width="18" customWidth="1"/>
    <col min="6" max="6" width="12" customWidth="1"/>
  </cols>
  <sheetData>
    <row r="1" ht="17.25" customHeight="1" spans="1:6">
      <c r="A1" s="1" t="s">
        <v>375</v>
      </c>
    </row>
    <row r="3" ht="15" customHeight="1" spans="1:6">
      <c r="A3" s="2" t="s">
        <v>376</v>
      </c>
      <c r="B3" s="3"/>
    </row>
    <row r="4" ht="15" customHeight="1" spans="1:6">
      <c r="A4" s="2" t="s">
        <v>377</v>
      </c>
      <c r="B4" s="4" t="s">
        <v>378</v>
      </c>
    </row>
    <row r="5" ht="15" customHeight="1" spans="1:6">
      <c r="A5" s="2" t="s">
        <v>379</v>
      </c>
      <c r="B5" s="3"/>
    </row>
    <row r="7" ht="15.75" customHeight="1" spans="1:6">
      <c r="A7" s="5" t="s">
        <v>380</v>
      </c>
      <c r="B7" s="5" t="s">
        <v>381</v>
      </c>
      <c r="C7" s="5" t="s">
        <v>382</v>
      </c>
      <c r="D7" s="5" t="s">
        <v>383</v>
      </c>
      <c r="E7" s="5" t="s">
        <v>384</v>
      </c>
      <c r="F7" s="5" t="s">
        <v>385</v>
      </c>
    </row>
    <row r="8" ht="15" customHeight="1" spans="1:6">
      <c r="A8" s="6" t="s">
        <v>386</v>
      </c>
      <c r="B8" s="7" t="s">
        <v>387</v>
      </c>
      <c r="C8" s="8" t="s">
        <v>34</v>
      </c>
      <c r="D8" s="9">
        <f>SUM(科目核算表!O3,科目核算表!O4,科目核算表!O5,科目核算表!O6,科目核算表!O7,科目核算表!O8,科目核算表!O9,科目核算表!O10,科目核算表!O11,科目核算表!O12,科目核算表!O13)</f>
        <v>144500</v>
      </c>
      <c r="E8" s="9">
        <f>IF(C8="ON",SUM(科目核算表!Q3,科目核算表!Q4,科目核算表!Q5,科目核算表!Q6,科目核算表!Q7,科目核算表!Q8,科目核算表!Q9,科目核算表!Q10,科目核算表!Q11,科目核算表!Q12,科目核算表!Q13),0)</f>
        <v>144500</v>
      </c>
      <c r="F8" s="10">
        <f>COUNTIF(科目核算表!O3:O13,"&gt;0")</f>
        <v>3</v>
      </c>
    </row>
    <row r="9" ht="15" customHeight="1" spans="1:6">
      <c r="A9" s="6" t="s">
        <v>388</v>
      </c>
      <c r="B9" s="7" t="s">
        <v>389</v>
      </c>
      <c r="C9" s="8" t="s">
        <v>34</v>
      </c>
      <c r="D9" s="9">
        <f>SUM(科目核算表!O15,科目核算表!O16,科目核算表!O17,科目核算表!O18,科目核算表!O19,科目核算表!O20,科目核算表!O21,科目核算表!O22,科目核算表!O23,科目核算表!O24,科目核算表!O25)</f>
        <v>290000</v>
      </c>
      <c r="E9" s="9">
        <f>IF(C9="ON",SUM(科目核算表!Q15,科目核算表!Q16,科目核算表!Q17,科目核算表!Q18,科目核算表!Q19,科目核算表!Q20,科目核算表!Q21,科目核算表!Q22,科目核算表!Q23,科目核算表!Q24,科目核算表!Q25),0)</f>
        <v>290000</v>
      </c>
      <c r="F9" s="10">
        <f>COUNTIF(科目核算表!O15:O25,"&gt;0")</f>
        <v>4</v>
      </c>
    </row>
    <row r="10" ht="15" customHeight="1" spans="1:6">
      <c r="A10" s="6" t="s">
        <v>390</v>
      </c>
      <c r="B10" s="7" t="s">
        <v>391</v>
      </c>
      <c r="C10" s="8" t="s">
        <v>34</v>
      </c>
      <c r="D10" s="9">
        <f>SUM(科目核算表!O27,科目核算表!O28,科目核算表!O29,科目核算表!O30,科目核算表!O31)</f>
        <v>72000</v>
      </c>
      <c r="E10" s="9">
        <f>IF(C10="ON",SUM(科目核算表!Q27,科目核算表!Q28,科目核算表!Q29,科目核算表!Q30,科目核算表!Q31),0)</f>
        <v>72000</v>
      </c>
      <c r="F10" s="10">
        <f>COUNTIF(科目核算表!O27:O31,"&gt;0")</f>
        <v>1</v>
      </c>
    </row>
    <row r="11" ht="15" customHeight="1" spans="1:6">
      <c r="A11" s="6" t="s">
        <v>392</v>
      </c>
      <c r="B11" s="7" t="s">
        <v>393</v>
      </c>
      <c r="C11" s="8" t="s">
        <v>34</v>
      </c>
      <c r="D11" s="9">
        <f>SUM(科目核算表!O33,科目核算表!O34)</f>
        <v>0</v>
      </c>
      <c r="E11" s="9">
        <f>IF(C11="ON",SUM(科目核算表!Q33,科目核算表!Q34),0)</f>
        <v>0</v>
      </c>
      <c r="F11" s="10">
        <f>COUNTIF(科目核算表!O33:O34,"&gt;0")</f>
        <v>0</v>
      </c>
    </row>
    <row r="12" ht="15" customHeight="1" spans="1:6">
      <c r="A12" s="6" t="s">
        <v>394</v>
      </c>
      <c r="B12" s="7" t="s">
        <v>395</v>
      </c>
      <c r="C12" s="8" t="s">
        <v>34</v>
      </c>
      <c r="D12" s="9">
        <f>SUM(科目核算表!O36,科目核算表!O37,科目核算表!O38,科目核算表!O39,科目核算表!O40)</f>
        <v>0</v>
      </c>
      <c r="E12" s="9">
        <f>IF(C12="ON",SUM(科目核算表!Q36,科目核算表!Q37,科目核算表!Q38,科目核算表!Q39,科目核算表!Q40),0)</f>
        <v>0</v>
      </c>
      <c r="F12" s="10">
        <f>COUNTIF(科目核算表!O36:O40,"&gt;0")</f>
        <v>0</v>
      </c>
    </row>
    <row r="13" ht="15" customHeight="1" spans="1:6">
      <c r="A13" s="6" t="s">
        <v>396</v>
      </c>
      <c r="B13" s="7" t="s">
        <v>397</v>
      </c>
      <c r="C13" s="8" t="s">
        <v>34</v>
      </c>
      <c r="D13" s="9">
        <f>SUM(科目核算表!O42,科目核算表!O43,科目核算表!O44,科目核算表!O45,科目核算表!O46)</f>
        <v>10000</v>
      </c>
      <c r="E13" s="9">
        <f>IF(C13="ON",SUM(科目核算表!Q42,科目核算表!Q43,科目核算表!Q44,科目核算表!Q45,科目核算表!Q46),0)</f>
        <v>10000</v>
      </c>
      <c r="F13" s="10">
        <f>COUNTIF(科目核算表!O42:O46,"&gt;0")</f>
        <v>1</v>
      </c>
    </row>
    <row r="14" ht="15" customHeight="1" spans="1:6">
      <c r="A14" s="6" t="s">
        <v>398</v>
      </c>
      <c r="B14" s="7" t="s">
        <v>399</v>
      </c>
      <c r="C14" s="8" t="s">
        <v>34</v>
      </c>
      <c r="D14" s="9">
        <f>SUM(科目核算表!O48,科目核算表!O49,科目核算表!O50,科目核算表!O51,科目核算表!O52,科目核算表!O53,科目核算表!O54)</f>
        <v>0</v>
      </c>
      <c r="E14" s="9">
        <f>IF(C14="ON",SUM(科目核算表!Q48,科目核算表!Q49,科目核算表!Q50,科目核算表!Q51,科目核算表!Q52,科目核算表!Q53,科目核算表!Q54),0)</f>
        <v>0</v>
      </c>
      <c r="F14" s="10">
        <f>COUNTIF(科目核算表!O48:O54,"&gt;0")</f>
        <v>0</v>
      </c>
    </row>
    <row r="15" ht="15" customHeight="1" spans="1:6">
      <c r="A15" s="6" t="s">
        <v>400</v>
      </c>
      <c r="B15" s="7" t="s">
        <v>401</v>
      </c>
      <c r="C15" s="8" t="s">
        <v>34</v>
      </c>
      <c r="D15" s="9">
        <f>SUM(科目核算表!O56)</f>
        <v>0</v>
      </c>
      <c r="E15" s="9">
        <f>IF(C15="ON",SUM(科目核算表!Q56),0)</f>
        <v>0</v>
      </c>
      <c r="F15" s="10">
        <f>COUNTIF(科目核算表!O56:O56,"&gt;0")</f>
        <v>0</v>
      </c>
    </row>
    <row r="16" ht="15" customHeight="1" spans="1:6">
      <c r="A16" s="11" t="s">
        <v>402</v>
      </c>
      <c r="B16" s="12" t="s">
        <v>403</v>
      </c>
      <c r="C16" s="8" t="s">
        <v>34</v>
      </c>
      <c r="D16" s="13">
        <f>SUM(科目核算表!O58,科目核算表!O59,科目核算表!O60)</f>
        <v>320000</v>
      </c>
      <c r="E16" s="13">
        <f>IF(C16="ON",SUM(科目核算表!Q58,科目核算表!Q59,科目核算表!Q60),0)</f>
        <v>320000</v>
      </c>
      <c r="F16" s="14">
        <f>COUNTIF(科目核算表!O58:O60,"&gt;0")</f>
        <v>1</v>
      </c>
    </row>
    <row r="17" ht="15" customHeight="1" spans="1:6">
      <c r="A17" s="11" t="s">
        <v>404</v>
      </c>
      <c r="B17" s="12" t="s">
        <v>405</v>
      </c>
      <c r="C17" s="8" t="s">
        <v>34</v>
      </c>
      <c r="D17" s="13">
        <f>SUM(科目核算表!O63,科目核算表!O64,科目核算表!O65,科目核算表!O66,科目核算表!O67)</f>
        <v>40000</v>
      </c>
      <c r="E17" s="13">
        <f>IF(C17="ON",SUM(科目核算表!Q63,科目核算表!Q64,科目核算表!Q65,科目核算表!Q66,科目核算表!Q67),0)</f>
        <v>40000</v>
      </c>
      <c r="F17" s="14">
        <f>COUNTIF(科目核算表!O63:O67,"&gt;0")</f>
        <v>1</v>
      </c>
    </row>
    <row r="18" ht="15" customHeight="1" spans="1:6">
      <c r="A18" s="11" t="s">
        <v>406</v>
      </c>
      <c r="B18" s="12" t="s">
        <v>407</v>
      </c>
      <c r="C18" s="8" t="s">
        <v>34</v>
      </c>
      <c r="D18" s="13">
        <f>SUM(科目核算表!O69)</f>
        <v>800000</v>
      </c>
      <c r="E18" s="13">
        <f>IF(C18="ON",SUM(科目核算表!Q69),0)</f>
        <v>800000</v>
      </c>
      <c r="F18" s="14">
        <f>COUNTIF(科目核算表!O69:O69,"&gt;0")</f>
        <v>1</v>
      </c>
    </row>
    <row r="19" ht="15" customHeight="1" spans="1:6">
      <c r="A19" s="11" t="s">
        <v>408</v>
      </c>
      <c r="B19" s="12" t="s">
        <v>409</v>
      </c>
      <c r="C19" s="8" t="s">
        <v>34</v>
      </c>
      <c r="D19" s="13">
        <f>SUM(科目核算表!O71,科目核算表!O72)</f>
        <v>0</v>
      </c>
      <c r="E19" s="13">
        <f>IF(C19="ON",SUM(科目核算表!Q71,科目核算表!Q72),0)</f>
        <v>0</v>
      </c>
      <c r="F19" s="14">
        <f>COUNTIF(科目核算表!O71:O72,"&gt;0")</f>
        <v>0</v>
      </c>
    </row>
    <row r="20" ht="15" customHeight="1" spans="1:6">
      <c r="A20" s="15" t="s">
        <v>410</v>
      </c>
      <c r="B20" s="16" t="s">
        <v>411</v>
      </c>
      <c r="C20" s="8" t="s">
        <v>34</v>
      </c>
      <c r="D20" s="17">
        <f>SUM(科目核算表!O74,科目核算表!O75,科目核算表!O76,科目核算表!O77,科目核算表!O78,科目核算表!O79)</f>
        <v>0</v>
      </c>
      <c r="E20" s="17">
        <f>IF(C20="ON",SUM(科目核算表!Q74,科目核算表!Q75,科目核算表!Q76,科目核算表!Q77,科目核算表!Q78,科目核算表!Q79),0)</f>
        <v>0</v>
      </c>
      <c r="F20" s="18">
        <f>COUNTIF(科目核算表!O74:O79,"&gt;0")</f>
        <v>0</v>
      </c>
    </row>
    <row r="21" ht="15" customHeight="1" spans="1:6">
      <c r="A21" s="15" t="s">
        <v>412</v>
      </c>
      <c r="B21" s="16" t="s">
        <v>413</v>
      </c>
      <c r="C21" s="8" t="s">
        <v>34</v>
      </c>
      <c r="D21" s="17">
        <f>SUM(科目核算表!O81,科目核算表!O82,科目核算表!O83)</f>
        <v>0</v>
      </c>
      <c r="E21" s="17">
        <f>IF(C21="ON",SUM(科目核算表!Q81,科目核算表!Q82,科目核算表!Q83),0)</f>
        <v>0</v>
      </c>
      <c r="F21" s="18">
        <f>COUNTIF(科目核算表!O81:O83,"&gt;0")</f>
        <v>0</v>
      </c>
    </row>
    <row r="22" ht="15" customHeight="1" spans="1:6">
      <c r="A22" s="15" t="s">
        <v>414</v>
      </c>
      <c r="B22" s="16" t="s">
        <v>415</v>
      </c>
      <c r="C22" s="8" t="s">
        <v>34</v>
      </c>
      <c r="D22" s="17">
        <f>SUM(科目核算表!O85,科目核算表!O86)</f>
        <v>0</v>
      </c>
      <c r="E22" s="17">
        <f>IF(C22="ON",SUM(科目核算表!Q85,科目核算表!Q86),0)</f>
        <v>0</v>
      </c>
      <c r="F22" s="18">
        <f>COUNTIF(科目核算表!O85:O86,"&gt;0")</f>
        <v>0</v>
      </c>
    </row>
    <row r="23" ht="16.5" customHeight="1" spans="1:6">
      <c r="B23" s="19" t="s">
        <v>416</v>
      </c>
      <c r="E23" s="20">
        <f>SUM(E8:E22)</f>
        <v>1676500</v>
      </c>
    </row>
    <row r="24" ht="15" customHeight="1" spans="1:6">
      <c r="B24" s="21" t="s">
        <v>417</v>
      </c>
      <c r="E24" s="20">
        <f>-MIN(科目核算表!E61,E16)</f>
        <v>0</v>
      </c>
    </row>
    <row r="25" ht="15" customHeight="1" spans="1:6">
      <c r="B25" s="22" t="s">
        <v>418</v>
      </c>
      <c r="E25" s="23">
        <f>E23+E24</f>
        <v>1676500</v>
      </c>
    </row>
    <row r="26" ht="15" customHeight="1" spans="1:6">
      <c r="B26" s="24"/>
      <c r="E26" s="24"/>
    </row>
    <row r="27" ht="15" customHeight="1" spans="1:6">
      <c r="B27" s="21" t="s">
        <v>419</v>
      </c>
      <c r="E27" s="20">
        <f>IF(C15="ON",科目核算表!Q56,0)+IF(C16="ON",科目核算表!Q60,0)</f>
        <v>0</v>
      </c>
    </row>
    <row r="28" ht="15" customHeight="1" spans="1:6">
      <c r="B28" s="21" t="s">
        <v>420</v>
      </c>
      <c r="E28" s="20">
        <f>E23-E27</f>
        <v>1676500</v>
      </c>
    </row>
    <row r="29" spans="1:6">
      <c r="B29" s="25" t="s">
        <v>421</v>
      </c>
      <c r="E29" s="20">
        <f>SUM(D8:D22)</f>
        <v>1676500</v>
      </c>
    </row>
    <row r="30" ht="15" customHeight="1" spans="1:6">
      <c r="B30" s="26" t="s">
        <v>422</v>
      </c>
    </row>
  </sheetData>
  <dataValidations count="1">
    <dataValidation type="list" sqref="C8:C22">
      <formula1>"ON,OFF"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科目核算表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Archer</cp:lastModifiedBy>
  <cp:revision>0</cp:revision>
  <dcterms:created xsi:type="dcterms:W3CDTF">2026-07-10T03:13:00Z</dcterms:created>
  <dcterms:modified xsi:type="dcterms:W3CDTF">2026-07-16T01:59:02Z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BCAAA1CF7459430D9C4F1BA108DD2A8E_13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